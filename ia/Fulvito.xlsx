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Fútbol 5" sheetId="1" r:id="rId5"/>
  </sheets>
  <definedNames/>
  <calcPr/>
</workbook>
</file>

<file path=xl/sharedStrings.xml><?xml version="1.0" encoding="utf-8"?>
<sst xmlns="http://schemas.openxmlformats.org/spreadsheetml/2006/main" count="639" uniqueCount="43">
  <si>
    <t>Fecha</t>
  </si>
  <si>
    <t>Partido #</t>
  </si>
  <si>
    <t>Jugador</t>
  </si>
  <si>
    <t>Equipo</t>
  </si>
  <si>
    <t>Resultado (V/E/D)</t>
  </si>
  <si>
    <t>Goles Equipo</t>
  </si>
  <si>
    <t>Partidos</t>
  </si>
  <si>
    <t>Victorias</t>
  </si>
  <si>
    <t>Empates</t>
  </si>
  <si>
    <t>Derrotas</t>
  </si>
  <si>
    <t>% Victorias</t>
  </si>
  <si>
    <t>Tier</t>
  </si>
  <si>
    <t>Colo</t>
  </si>
  <si>
    <t>Duki</t>
  </si>
  <si>
    <t>Ema</t>
  </si>
  <si>
    <t>Fabri</t>
  </si>
  <si>
    <t>Facu</t>
  </si>
  <si>
    <t>Fede</t>
  </si>
  <si>
    <t>Franquito</t>
  </si>
  <si>
    <t>Ivan</t>
  </si>
  <si>
    <t>Juan</t>
  </si>
  <si>
    <t>Leo</t>
  </si>
  <si>
    <t>Manuelo</t>
  </si>
  <si>
    <t>Marce</t>
  </si>
  <si>
    <t>Mateo</t>
  </si>
  <si>
    <t>Mauri</t>
  </si>
  <si>
    <t>Mauro</t>
  </si>
  <si>
    <t>NicoL</t>
  </si>
  <si>
    <t>NicoRz</t>
  </si>
  <si>
    <t>Odri</t>
  </si>
  <si>
    <t>Ruso</t>
  </si>
  <si>
    <t>Santi</t>
  </si>
  <si>
    <t>Tomas</t>
  </si>
  <si>
    <t>Will</t>
  </si>
  <si>
    <t>A</t>
  </si>
  <si>
    <t>V</t>
  </si>
  <si>
    <t>C</t>
  </si>
  <si>
    <t>B</t>
  </si>
  <si>
    <t>D</t>
  </si>
  <si>
    <t>Alf</t>
  </si>
  <si>
    <t>Xavi</t>
  </si>
  <si>
    <t>E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</si>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</sst>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1F1F1F"/>
      <name val="&quot;Google Sans Mono&quot;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1B5E1F"/>
        <bgColor rgb="FF1B5E1F"/>
      </patternFill>
    </fill>
    <fill>
      <patternFill patternType="solid">
        <fgColor rgb="FFF0F4F9"/>
        <bgColor rgb="FFF0F4F9"/>
      </patternFill>
    </fill>
    <fill>
      <patternFill patternType="solid">
        <fgColor rgb="FFCCE5CC"/>
        <bgColor rgb="FFCCE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2" numFmtId="49" xfId="0" applyAlignment="1" applyBorder="1" applyFill="1" applyFont="1" applyNumberFormat="1">
      <alignment horizontal="center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4" fontId="3" numFmtId="10" xfId="0" applyAlignment="1" applyFill="1" applyFont="1" applyNumberFormat="1">
      <alignment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readingOrder="0" vertical="center"/>
    </xf>
    <xf borderId="1" fillId="5" fontId="4" numFmtId="49" xfId="0" applyAlignment="1" applyBorder="1" applyFill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shrinkToFit="0" vertical="center" wrapText="0"/>
    </xf>
    <xf borderId="1" fillId="0" fontId="1" numFmtId="0" xfId="0" applyBorder="1" applyFont="1"/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4" fontId="3" numFmtId="10" xfId="0" applyAlignment="1" applyFill="1" applyFont="1" applyNumberFormat="1">
      <alignment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E5F2E5"/>
          <bgColor rgb="FFE5F2E5"/>
        </patternFill>
      </fill>
      <border/>
    </dxf>
  </dxfs>
  <tableStyles count="3">
    <tableStyle count="4" pivot="0" name="Estadísticas Fútbol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Fútbol 5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Estadísticas Fútbol 5-style 3"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1" displayName="Fulvito" name="Fulvito" id="1">
  <tableColumns count="6">
    <tableColumn name="Fecha" id="1"/>
    <tableColumn name="Partido #" id="2"/>
    <tableColumn name="Jugador" id="3"/>
    <tableColumn name="Equipo" id="4"/>
    <tableColumn name="Resultado (V/E/D)" id="5"/>
    <tableColumn name="Goles Equipo" id="6"/>
  </tableColumns>
  <tableStyleInfo name="Estadísticas Fútbol 5-style" showColumnStripes="0" showFirstColumn="1" showLastColumn="1" showRowStripes="1"/>
</table>
</file>

<file path=xl/tables/table2.xml><?xml version="1.0" encoding="utf-8"?>
<table xmlns="http://schemas.openxmlformats.org/spreadsheetml/2006/main" ref="H1:M25" displayName="Estadisticas" name="Estadisticas" id="2">
  <tableColumns count="6">
    <tableColumn name="Jugador" id="1"/>
    <tableColumn name="Partidos" id="2"/>
    <tableColumn name="Victorias" id="3"/>
    <tableColumn name="Empates" id="4"/>
    <tableColumn name="Derrotas" id="5"/>
    <tableColumn name="% Victorias" id="6"/>
  </tableColumns>
  <tableStyleInfo name="Estadísticas Fútbol 5-style 2" showColumnStripes="0" showFirstColumn="1" showLastColumn="1" showRowStripes="1"/>
</table>
</file>

<file path=xl/tables/table3.xml><?xml version="1.0" encoding="utf-8"?>
<table xmlns="http://schemas.openxmlformats.org/spreadsheetml/2006/main" headerRowCount="0" ref="S2:AO24" displayName="Table_1" name="Table_1" id="3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Estadísticas Fútbol 5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6.5"/>
    <col customWidth="1" min="3" max="3" width="14.88"/>
    <col customWidth="1" min="4" max="4" width="13.5"/>
    <col customWidth="1" min="5" max="5" width="24.5"/>
    <col customWidth="1" min="6" max="6" width="19.5"/>
    <col customWidth="1" min="7" max="7" width="15.5"/>
    <col customWidth="1" min="8" max="8" width="14.88"/>
    <col customWidth="1" min="9" max="9" width="15.0"/>
    <col customWidth="1" min="10" max="11" width="15.25"/>
    <col customWidth="1" min="12" max="12" width="15.13"/>
    <col customWidth="1" min="13" max="13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2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O1" s="3" t="s">
        <v>2</v>
      </c>
      <c r="P1" s="3" t="s">
        <v>11</v>
      </c>
      <c r="R1" s="4" t="s">
        <v>2</v>
      </c>
      <c r="S1" s="5" t="str">
        <f t="array" ref="S1:AO1">TRANSPOSE(H2:H24)</f>
        <v>Alf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21</v>
      </c>
      <c r="AD1" s="5" t="s">
        <v>22</v>
      </c>
      <c r="AE1" s="5" t="s">
        <v>23</v>
      </c>
      <c r="AF1" s="5" t="s">
        <v>24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5" t="s">
        <v>30</v>
      </c>
      <c r="AM1" s="5" t="s">
        <v>31</v>
      </c>
      <c r="AN1" s="5" t="s">
        <v>32</v>
      </c>
      <c r="AO1" s="5" t="s">
        <v>33</v>
      </c>
    </row>
    <row r="2" ht="22.5" customHeight="1">
      <c r="A2" s="6">
        <v>46134.0</v>
      </c>
      <c r="B2" s="7">
        <v>1.0</v>
      </c>
      <c r="C2" s="8" t="s">
        <v>28</v>
      </c>
      <c r="D2" s="9" t="s">
        <v>34</v>
      </c>
      <c r="E2" s="10" t="s">
        <v>35</v>
      </c>
      <c r="F2" s="7">
        <v>15.0</v>
      </c>
      <c r="H2" s="11" t="str">
        <f t="array" ref="H2:H26">SORT(UNIQUE(C2:C1120))</f>
        <v>Alf</v>
      </c>
      <c r="I2" s="12">
        <f t="shared" ref="I2:I25" si="1">COUNTIF($C$2:$C$1120, H2)</f>
        <v>16</v>
      </c>
      <c r="J2" s="13">
        <f t="shared" ref="J2:J25" si="2">COUNTIFS($C$2:$C$1120, H2, $E$2:$E$1120, "V")
</f>
        <v>6</v>
      </c>
      <c r="K2" s="13">
        <f t="shared" ref="K2:K25" si="3">COUNTIFS($C$2:$C$1120, H2, $E$2:$E$1120, "E")</f>
        <v>3</v>
      </c>
      <c r="L2" s="13">
        <f t="shared" ref="L2:L25" si="4">COUNTIFS($C$2:$C$1120, H2, $E$2:$E$1120, "D")</f>
        <v>7</v>
      </c>
      <c r="M2" s="14">
        <f t="shared" ref="M2:M25" si="5">IFERROR(J2/I2, 0)</f>
        <v>0.375</v>
      </c>
      <c r="O2" s="15" t="str">
        <f t="array" ref="O2:O26">SORT(UNIQUE(C2:C1120))</f>
        <v>Alf</v>
      </c>
      <c r="P2" s="16" t="s">
        <v>36</v>
      </c>
      <c r="R2" s="17" t="str">
        <f t="array" ref="R2:R24">H2:H24</f>
        <v>Alf</v>
      </c>
      <c r="S2" s="18" t="str">
        <f>IFERROR(__xludf.DUMMYFUNCTION("LET(
  jugs, H2:H24,
  p_equipos, FILTER(B2:B1128 &amp; ""_"" &amp; UPPER(TRIM(D2:D1128)), C2:C1128&lt;&gt;""""),
  nombres, FILTER(C2:C1128, C2:C1128&lt;&gt;""""),
  unicos, UNIQUE(p_equipos),
  U, ARRAYFORMULA(--(unicos = TRANSPOSE(p_equipos))),
  P, ARRAYFORMULA(--(nombre"&amp;"s = TRANSPOSE(jugs))),
  M, MMULT(U, P),
  Co, MMULT(TRANSPOSE(M), M),
  ARRAYFORMULA(IF(jugs = TRANSPOSE(jugs), ""-"", Co))
)"),"-")</f>
        <v>-</v>
      </c>
      <c r="T2" s="18">
        <f>IFERROR(__xludf.DUMMYFUNCTION("""COMPUTED_VALUE"""),0.0)</f>
        <v>0</v>
      </c>
      <c r="U2" s="18">
        <f>IFERROR(__xludf.DUMMYFUNCTION("""COMPUTED_VALUE"""),0.0)</f>
        <v>0</v>
      </c>
      <c r="V2" s="18">
        <f>IFERROR(__xludf.DUMMYFUNCTION("""COMPUTED_VALUE"""),3.0)</f>
        <v>3</v>
      </c>
      <c r="W2" s="18">
        <f>IFERROR(__xludf.DUMMYFUNCTION("""COMPUTED_VALUE"""),1.0)</f>
        <v>1</v>
      </c>
      <c r="X2" s="18">
        <f>IFERROR(__xludf.DUMMYFUNCTION("""COMPUTED_VALUE"""),4.0)</f>
        <v>4</v>
      </c>
      <c r="Y2" s="18">
        <f>IFERROR(__xludf.DUMMYFUNCTION("""COMPUTED_VALUE"""),0.0)</f>
        <v>0</v>
      </c>
      <c r="Z2" s="18">
        <f>IFERROR(__xludf.DUMMYFUNCTION("""COMPUTED_VALUE"""),4.0)</f>
        <v>4</v>
      </c>
      <c r="AA2" s="18">
        <f>IFERROR(__xludf.DUMMYFUNCTION("""COMPUTED_VALUE"""),0.0)</f>
        <v>0</v>
      </c>
      <c r="AB2" s="18">
        <f>IFERROR(__xludf.DUMMYFUNCTION("""COMPUTED_VALUE"""),1.0)</f>
        <v>1</v>
      </c>
      <c r="AC2" s="18">
        <f>IFERROR(__xludf.DUMMYFUNCTION("""COMPUTED_VALUE"""),7.0)</f>
        <v>7</v>
      </c>
      <c r="AD2" s="18">
        <f>IFERROR(__xludf.DUMMYFUNCTION("""COMPUTED_VALUE"""),0.0)</f>
        <v>0</v>
      </c>
      <c r="AE2" s="18">
        <f>IFERROR(__xludf.DUMMYFUNCTION("""COMPUTED_VALUE"""),0.0)</f>
        <v>0</v>
      </c>
      <c r="AF2" s="18">
        <f>IFERROR(__xludf.DUMMYFUNCTION("""COMPUTED_VALUE"""),0.0)</f>
        <v>0</v>
      </c>
      <c r="AG2" s="18">
        <f>IFERROR(__xludf.DUMMYFUNCTION("""COMPUTED_VALUE"""),5.0)</f>
        <v>5</v>
      </c>
      <c r="AH2" s="18">
        <f>IFERROR(__xludf.DUMMYFUNCTION("""COMPUTED_VALUE"""),5.0)</f>
        <v>5</v>
      </c>
      <c r="AI2" s="18">
        <f>IFERROR(__xludf.DUMMYFUNCTION("""COMPUTED_VALUE"""),3.0)</f>
        <v>3</v>
      </c>
      <c r="AJ2" s="18">
        <f>IFERROR(__xludf.DUMMYFUNCTION("""COMPUTED_VALUE"""),8.0)</f>
        <v>8</v>
      </c>
      <c r="AK2" s="18">
        <f>IFERROR(__xludf.DUMMYFUNCTION("""COMPUTED_VALUE"""),11.0)</f>
        <v>11</v>
      </c>
      <c r="AL2" s="18">
        <f>IFERROR(__xludf.DUMMYFUNCTION("""COMPUTED_VALUE"""),2.0)</f>
        <v>2</v>
      </c>
      <c r="AM2" s="18">
        <f>IFERROR(__xludf.DUMMYFUNCTION("""COMPUTED_VALUE"""),9.0)</f>
        <v>9</v>
      </c>
      <c r="AN2" s="18">
        <f>IFERROR(__xludf.DUMMYFUNCTION("""COMPUTED_VALUE"""),1.0)</f>
        <v>1</v>
      </c>
      <c r="AO2" s="18">
        <f>IFERROR(__xludf.DUMMYFUNCTION("""COMPUTED_VALUE"""),0.0)</f>
        <v>0</v>
      </c>
    </row>
    <row r="3" ht="22.5" customHeight="1">
      <c r="A3" s="6">
        <v>46134.0</v>
      </c>
      <c r="B3" s="7">
        <v>1.0</v>
      </c>
      <c r="C3" s="8" t="s">
        <v>14</v>
      </c>
      <c r="D3" s="9" t="s">
        <v>37</v>
      </c>
      <c r="E3" s="8" t="s">
        <v>38</v>
      </c>
      <c r="F3" s="19">
        <v>5.0</v>
      </c>
      <c r="H3" s="11" t="s">
        <v>12</v>
      </c>
      <c r="I3" s="12">
        <f t="shared" si="1"/>
        <v>1</v>
      </c>
      <c r="J3" s="13">
        <f t="shared" si="2"/>
        <v>0</v>
      </c>
      <c r="K3" s="13">
        <f t="shared" si="3"/>
        <v>0</v>
      </c>
      <c r="L3" s="13">
        <f t="shared" si="4"/>
        <v>1</v>
      </c>
      <c r="M3" s="14">
        <f t="shared" si="5"/>
        <v>0</v>
      </c>
      <c r="O3" s="20" t="s">
        <v>12</v>
      </c>
      <c r="P3" s="16" t="s">
        <v>37</v>
      </c>
      <c r="R3" s="17" t="s">
        <v>12</v>
      </c>
      <c r="S3" s="18">
        <f>IFERROR(__xludf.DUMMYFUNCTION("""COMPUTED_VALUE"""),0.0)</f>
        <v>0</v>
      </c>
      <c r="T3" s="18" t="str">
        <f>IFERROR(__xludf.DUMMYFUNCTION("""COMPUTED_VALUE"""),"-")</f>
        <v>-</v>
      </c>
      <c r="U3" s="18">
        <f>IFERROR(__xludf.DUMMYFUNCTION("""COMPUTED_VALUE"""),0.0)</f>
        <v>0</v>
      </c>
      <c r="V3" s="18">
        <f>IFERROR(__xludf.DUMMYFUNCTION("""COMPUTED_VALUE"""),0.0)</f>
        <v>0</v>
      </c>
      <c r="W3" s="18">
        <f>IFERROR(__xludf.DUMMYFUNCTION("""COMPUTED_VALUE"""),0.0)</f>
        <v>0</v>
      </c>
      <c r="X3" s="18">
        <f>IFERROR(__xludf.DUMMYFUNCTION("""COMPUTED_VALUE"""),0.0)</f>
        <v>0</v>
      </c>
      <c r="Y3" s="18">
        <f>IFERROR(__xludf.DUMMYFUNCTION("""COMPUTED_VALUE"""),0.0)</f>
        <v>0</v>
      </c>
      <c r="Z3" s="18">
        <f>IFERROR(__xludf.DUMMYFUNCTION("""COMPUTED_VALUE"""),1.0)</f>
        <v>1</v>
      </c>
      <c r="AA3" s="18">
        <f>IFERROR(__xludf.DUMMYFUNCTION("""COMPUTED_VALUE"""),0.0)</f>
        <v>0</v>
      </c>
      <c r="AB3" s="18">
        <f>IFERROR(__xludf.DUMMYFUNCTION("""COMPUTED_VALUE"""),0.0)</f>
        <v>0</v>
      </c>
      <c r="AC3" s="18">
        <f>IFERROR(__xludf.DUMMYFUNCTION("""COMPUTED_VALUE"""),0.0)</f>
        <v>0</v>
      </c>
      <c r="AD3" s="18">
        <f>IFERROR(__xludf.DUMMYFUNCTION("""COMPUTED_VALUE"""),0.0)</f>
        <v>0</v>
      </c>
      <c r="AE3" s="18">
        <f>IFERROR(__xludf.DUMMYFUNCTION("""COMPUTED_VALUE"""),0.0)</f>
        <v>0</v>
      </c>
      <c r="AF3" s="18">
        <f>IFERROR(__xludf.DUMMYFUNCTION("""COMPUTED_VALUE"""),1.0)</f>
        <v>1</v>
      </c>
      <c r="AG3" s="18">
        <f>IFERROR(__xludf.DUMMYFUNCTION("""COMPUTED_VALUE"""),1.0)</f>
        <v>1</v>
      </c>
      <c r="AH3" s="18">
        <f>IFERROR(__xludf.DUMMYFUNCTION("""COMPUTED_VALUE"""),1.0)</f>
        <v>1</v>
      </c>
      <c r="AI3" s="18">
        <f>IFERROR(__xludf.DUMMYFUNCTION("""COMPUTED_VALUE"""),0.0)</f>
        <v>0</v>
      </c>
      <c r="AJ3" s="18">
        <f>IFERROR(__xludf.DUMMYFUNCTION("""COMPUTED_VALUE"""),0.0)</f>
        <v>0</v>
      </c>
      <c r="AK3" s="18">
        <f>IFERROR(__xludf.DUMMYFUNCTION("""COMPUTED_VALUE"""),0.0)</f>
        <v>0</v>
      </c>
      <c r="AL3" s="18">
        <f>IFERROR(__xludf.DUMMYFUNCTION("""COMPUTED_VALUE"""),0.0)</f>
        <v>0</v>
      </c>
      <c r="AM3" s="18">
        <f>IFERROR(__xludf.DUMMYFUNCTION("""COMPUTED_VALUE"""),0.0)</f>
        <v>0</v>
      </c>
      <c r="AN3" s="18">
        <f>IFERROR(__xludf.DUMMYFUNCTION("""COMPUTED_VALUE"""),0.0)</f>
        <v>0</v>
      </c>
      <c r="AO3" s="18">
        <f>IFERROR(__xludf.DUMMYFUNCTION("""COMPUTED_VALUE"""),0.0)</f>
        <v>0</v>
      </c>
    </row>
    <row r="4" ht="22.5" customHeight="1">
      <c r="A4" s="6">
        <v>46134.0</v>
      </c>
      <c r="B4" s="7">
        <v>1.0</v>
      </c>
      <c r="C4" s="8" t="s">
        <v>25</v>
      </c>
      <c r="D4" s="9" t="s">
        <v>34</v>
      </c>
      <c r="E4" s="10" t="s">
        <v>35</v>
      </c>
      <c r="F4" s="7">
        <v>15.0</v>
      </c>
      <c r="H4" s="11" t="s">
        <v>13</v>
      </c>
      <c r="I4" s="12">
        <f t="shared" si="1"/>
        <v>1</v>
      </c>
      <c r="J4" s="13">
        <f t="shared" si="2"/>
        <v>0</v>
      </c>
      <c r="K4" s="13">
        <f t="shared" si="3"/>
        <v>1</v>
      </c>
      <c r="L4" s="13">
        <f t="shared" si="4"/>
        <v>0</v>
      </c>
      <c r="M4" s="14">
        <f t="shared" si="5"/>
        <v>0</v>
      </c>
      <c r="O4" s="20" t="s">
        <v>13</v>
      </c>
      <c r="P4" s="16" t="s">
        <v>36</v>
      </c>
      <c r="R4" s="17" t="s">
        <v>13</v>
      </c>
      <c r="S4" s="18">
        <f>IFERROR(__xludf.DUMMYFUNCTION("""COMPUTED_VALUE"""),0.0)</f>
        <v>0</v>
      </c>
      <c r="T4" s="18">
        <f>IFERROR(__xludf.DUMMYFUNCTION("""COMPUTED_VALUE"""),0.0)</f>
        <v>0</v>
      </c>
      <c r="U4" s="18" t="str">
        <f>IFERROR(__xludf.DUMMYFUNCTION("""COMPUTED_VALUE"""),"-")</f>
        <v>-</v>
      </c>
      <c r="V4" s="18">
        <f>IFERROR(__xludf.DUMMYFUNCTION("""COMPUTED_VALUE"""),0.0)</f>
        <v>0</v>
      </c>
      <c r="W4" s="18">
        <f>IFERROR(__xludf.DUMMYFUNCTION("""COMPUTED_VALUE"""),0.0)</f>
        <v>0</v>
      </c>
      <c r="X4" s="18">
        <f>IFERROR(__xludf.DUMMYFUNCTION("""COMPUTED_VALUE"""),0.0)</f>
        <v>0</v>
      </c>
      <c r="Y4" s="18">
        <f>IFERROR(__xludf.DUMMYFUNCTION("""COMPUTED_VALUE"""),0.0)</f>
        <v>0</v>
      </c>
      <c r="Z4" s="18">
        <f>IFERROR(__xludf.DUMMYFUNCTION("""COMPUTED_VALUE"""),1.0)</f>
        <v>1</v>
      </c>
      <c r="AA4" s="18">
        <f>IFERROR(__xludf.DUMMYFUNCTION("""COMPUTED_VALUE"""),0.0)</f>
        <v>0</v>
      </c>
      <c r="AB4" s="18">
        <f>IFERROR(__xludf.DUMMYFUNCTION("""COMPUTED_VALUE"""),0.0)</f>
        <v>0</v>
      </c>
      <c r="AC4" s="18">
        <f>IFERROR(__xludf.DUMMYFUNCTION("""COMPUTED_VALUE"""),0.0)</f>
        <v>0</v>
      </c>
      <c r="AD4" s="18">
        <f>IFERROR(__xludf.DUMMYFUNCTION("""COMPUTED_VALUE"""),0.0)</f>
        <v>0</v>
      </c>
      <c r="AE4" s="18">
        <f>IFERROR(__xludf.DUMMYFUNCTION("""COMPUTED_VALUE"""),0.0)</f>
        <v>0</v>
      </c>
      <c r="AF4" s="18">
        <f>IFERROR(__xludf.DUMMYFUNCTION("""COMPUTED_VALUE"""),0.0)</f>
        <v>0</v>
      </c>
      <c r="AG4" s="18">
        <f>IFERROR(__xludf.DUMMYFUNCTION("""COMPUTED_VALUE"""),1.0)</f>
        <v>1</v>
      </c>
      <c r="AH4" s="18">
        <f>IFERROR(__xludf.DUMMYFUNCTION("""COMPUTED_VALUE"""),0.0)</f>
        <v>0</v>
      </c>
      <c r="AI4" s="18">
        <f>IFERROR(__xludf.DUMMYFUNCTION("""COMPUTED_VALUE"""),0.0)</f>
        <v>0</v>
      </c>
      <c r="AJ4" s="18">
        <f>IFERROR(__xludf.DUMMYFUNCTION("""COMPUTED_VALUE"""),1.0)</f>
        <v>1</v>
      </c>
      <c r="AK4" s="18">
        <f>IFERROR(__xludf.DUMMYFUNCTION("""COMPUTED_VALUE"""),0.0)</f>
        <v>0</v>
      </c>
      <c r="AL4" s="18">
        <f>IFERROR(__xludf.DUMMYFUNCTION("""COMPUTED_VALUE"""),0.0)</f>
        <v>0</v>
      </c>
      <c r="AM4" s="18">
        <f>IFERROR(__xludf.DUMMYFUNCTION("""COMPUTED_VALUE"""),1.0)</f>
        <v>1</v>
      </c>
      <c r="AN4" s="18">
        <f>IFERROR(__xludf.DUMMYFUNCTION("""COMPUTED_VALUE"""),0.0)</f>
        <v>0</v>
      </c>
      <c r="AO4" s="18">
        <f>IFERROR(__xludf.DUMMYFUNCTION("""COMPUTED_VALUE"""),0.0)</f>
        <v>0</v>
      </c>
    </row>
    <row r="5" ht="22.5" customHeight="1">
      <c r="A5" s="6">
        <v>46134.0</v>
      </c>
      <c r="B5" s="7">
        <v>1.0</v>
      </c>
      <c r="C5" s="8" t="s">
        <v>29</v>
      </c>
      <c r="D5" s="9" t="s">
        <v>34</v>
      </c>
      <c r="E5" s="10" t="s">
        <v>35</v>
      </c>
      <c r="F5" s="7">
        <v>15.0</v>
      </c>
      <c r="H5" s="11" t="s">
        <v>14</v>
      </c>
      <c r="I5" s="12">
        <f t="shared" si="1"/>
        <v>9</v>
      </c>
      <c r="J5" s="13">
        <f t="shared" si="2"/>
        <v>3</v>
      </c>
      <c r="K5" s="13">
        <f t="shared" si="3"/>
        <v>1</v>
      </c>
      <c r="L5" s="13">
        <f t="shared" si="4"/>
        <v>5</v>
      </c>
      <c r="M5" s="14">
        <f t="shared" si="5"/>
        <v>0.3333333333</v>
      </c>
      <c r="O5" s="20" t="s">
        <v>14</v>
      </c>
      <c r="P5" s="16" t="s">
        <v>37</v>
      </c>
      <c r="R5" s="17" t="s">
        <v>14</v>
      </c>
      <c r="S5" s="18">
        <f>IFERROR(__xludf.DUMMYFUNCTION("""COMPUTED_VALUE"""),3.0)</f>
        <v>3</v>
      </c>
      <c r="T5" s="18">
        <f>IFERROR(__xludf.DUMMYFUNCTION("""COMPUTED_VALUE"""),0.0)</f>
        <v>0</v>
      </c>
      <c r="U5" s="18">
        <f>IFERROR(__xludf.DUMMYFUNCTION("""COMPUTED_VALUE"""),0.0)</f>
        <v>0</v>
      </c>
      <c r="V5" s="18" t="str">
        <f>IFERROR(__xludf.DUMMYFUNCTION("""COMPUTED_VALUE"""),"-")</f>
        <v>-</v>
      </c>
      <c r="W5" s="18">
        <f>IFERROR(__xludf.DUMMYFUNCTION("""COMPUTED_VALUE"""),0.0)</f>
        <v>0</v>
      </c>
      <c r="X5" s="18">
        <f>IFERROR(__xludf.DUMMYFUNCTION("""COMPUTED_VALUE"""),0.0)</f>
        <v>0</v>
      </c>
      <c r="Y5" s="18">
        <f>IFERROR(__xludf.DUMMYFUNCTION("""COMPUTED_VALUE"""),1.0)</f>
        <v>1</v>
      </c>
      <c r="Z5" s="18">
        <f>IFERROR(__xludf.DUMMYFUNCTION("""COMPUTED_VALUE"""),3.0)</f>
        <v>3</v>
      </c>
      <c r="AA5" s="18">
        <f>IFERROR(__xludf.DUMMYFUNCTION("""COMPUTED_VALUE"""),2.0)</f>
        <v>2</v>
      </c>
      <c r="AB5" s="18">
        <f>IFERROR(__xludf.DUMMYFUNCTION("""COMPUTED_VALUE"""),0.0)</f>
        <v>0</v>
      </c>
      <c r="AC5" s="18">
        <f>IFERROR(__xludf.DUMMYFUNCTION("""COMPUTED_VALUE"""),4.0)</f>
        <v>4</v>
      </c>
      <c r="AD5" s="18">
        <f>IFERROR(__xludf.DUMMYFUNCTION("""COMPUTED_VALUE"""),1.0)</f>
        <v>1</v>
      </c>
      <c r="AE5" s="18">
        <f>IFERROR(__xludf.DUMMYFUNCTION("""COMPUTED_VALUE"""),2.0)</f>
        <v>2</v>
      </c>
      <c r="AF5" s="18">
        <f>IFERROR(__xludf.DUMMYFUNCTION("""COMPUTED_VALUE"""),2.0)</f>
        <v>2</v>
      </c>
      <c r="AG5" s="18">
        <f>IFERROR(__xludf.DUMMYFUNCTION("""COMPUTED_VALUE"""),6.0)</f>
        <v>6</v>
      </c>
      <c r="AH5" s="18">
        <f>IFERROR(__xludf.DUMMYFUNCTION("""COMPUTED_VALUE"""),3.0)</f>
        <v>3</v>
      </c>
      <c r="AI5" s="18">
        <f>IFERROR(__xludf.DUMMYFUNCTION("""COMPUTED_VALUE"""),1.0)</f>
        <v>1</v>
      </c>
      <c r="AJ5" s="18">
        <f>IFERROR(__xludf.DUMMYFUNCTION("""COMPUTED_VALUE"""),4.0)</f>
        <v>4</v>
      </c>
      <c r="AK5" s="18">
        <f>IFERROR(__xludf.DUMMYFUNCTION("""COMPUTED_VALUE"""),1.0)</f>
        <v>1</v>
      </c>
      <c r="AL5" s="18">
        <f>IFERROR(__xludf.DUMMYFUNCTION("""COMPUTED_VALUE"""),1.0)</f>
        <v>1</v>
      </c>
      <c r="AM5" s="18">
        <f>IFERROR(__xludf.DUMMYFUNCTION("""COMPUTED_VALUE"""),2.0)</f>
        <v>2</v>
      </c>
      <c r="AN5" s="18">
        <f>IFERROR(__xludf.DUMMYFUNCTION("""COMPUTED_VALUE"""),0.0)</f>
        <v>0</v>
      </c>
      <c r="AO5" s="18">
        <f>IFERROR(__xludf.DUMMYFUNCTION("""COMPUTED_VALUE"""),0.0)</f>
        <v>0</v>
      </c>
    </row>
    <row r="6" ht="22.5" customHeight="1">
      <c r="A6" s="6">
        <v>46134.0</v>
      </c>
      <c r="B6" s="7">
        <v>1.0</v>
      </c>
      <c r="C6" s="8" t="s">
        <v>17</v>
      </c>
      <c r="D6" s="9" t="s">
        <v>37</v>
      </c>
      <c r="E6" s="8" t="s">
        <v>38</v>
      </c>
      <c r="F6" s="19">
        <v>5.0</v>
      </c>
      <c r="H6" s="11" t="s">
        <v>15</v>
      </c>
      <c r="I6" s="12">
        <f t="shared" si="1"/>
        <v>1</v>
      </c>
      <c r="J6" s="13">
        <f t="shared" si="2"/>
        <v>0</v>
      </c>
      <c r="K6" s="13">
        <f t="shared" si="3"/>
        <v>1</v>
      </c>
      <c r="L6" s="13">
        <f t="shared" si="4"/>
        <v>0</v>
      </c>
      <c r="M6" s="14">
        <f t="shared" si="5"/>
        <v>0</v>
      </c>
      <c r="O6" s="20" t="s">
        <v>15</v>
      </c>
      <c r="P6" s="16" t="s">
        <v>37</v>
      </c>
      <c r="R6" s="17" t="s">
        <v>15</v>
      </c>
      <c r="S6" s="18">
        <f>IFERROR(__xludf.DUMMYFUNCTION("""COMPUTED_VALUE"""),1.0)</f>
        <v>1</v>
      </c>
      <c r="T6" s="18">
        <f>IFERROR(__xludf.DUMMYFUNCTION("""COMPUTED_VALUE"""),0.0)</f>
        <v>0</v>
      </c>
      <c r="U6" s="18">
        <f>IFERROR(__xludf.DUMMYFUNCTION("""COMPUTED_VALUE"""),0.0)</f>
        <v>0</v>
      </c>
      <c r="V6" s="18">
        <f>IFERROR(__xludf.DUMMYFUNCTION("""COMPUTED_VALUE"""),0.0)</f>
        <v>0</v>
      </c>
      <c r="W6" s="18" t="str">
        <f>IFERROR(__xludf.DUMMYFUNCTION("""COMPUTED_VALUE"""),"-")</f>
        <v>-</v>
      </c>
      <c r="X6" s="18">
        <f>IFERROR(__xludf.DUMMYFUNCTION("""COMPUTED_VALUE"""),0.0)</f>
        <v>0</v>
      </c>
      <c r="Y6" s="18">
        <f>IFERROR(__xludf.DUMMYFUNCTION("""COMPUTED_VALUE"""),0.0)</f>
        <v>0</v>
      </c>
      <c r="Z6" s="18">
        <f>IFERROR(__xludf.DUMMYFUNCTION("""COMPUTED_VALUE"""),0.0)</f>
        <v>0</v>
      </c>
      <c r="AA6" s="18">
        <f>IFERROR(__xludf.DUMMYFUNCTION("""COMPUTED_VALUE"""),0.0)</f>
        <v>0</v>
      </c>
      <c r="AB6" s="18">
        <f>IFERROR(__xludf.DUMMYFUNCTION("""COMPUTED_VALUE"""),0.0)</f>
        <v>0</v>
      </c>
      <c r="AC6" s="18">
        <f>IFERROR(__xludf.DUMMYFUNCTION("""COMPUTED_VALUE"""),0.0)</f>
        <v>0</v>
      </c>
      <c r="AD6" s="18">
        <f>IFERROR(__xludf.DUMMYFUNCTION("""COMPUTED_VALUE"""),0.0)</f>
        <v>0</v>
      </c>
      <c r="AE6" s="18">
        <f>IFERROR(__xludf.DUMMYFUNCTION("""COMPUTED_VALUE"""),0.0)</f>
        <v>0</v>
      </c>
      <c r="AF6" s="18">
        <f>IFERROR(__xludf.DUMMYFUNCTION("""COMPUTED_VALUE"""),0.0)</f>
        <v>0</v>
      </c>
      <c r="AG6" s="18">
        <f>IFERROR(__xludf.DUMMYFUNCTION("""COMPUTED_VALUE"""),0.0)</f>
        <v>0</v>
      </c>
      <c r="AH6" s="18">
        <f>IFERROR(__xludf.DUMMYFUNCTION("""COMPUTED_VALUE"""),0.0)</f>
        <v>0</v>
      </c>
      <c r="AI6" s="18">
        <f>IFERROR(__xludf.DUMMYFUNCTION("""COMPUTED_VALUE"""),1.0)</f>
        <v>1</v>
      </c>
      <c r="AJ6" s="18">
        <f>IFERROR(__xludf.DUMMYFUNCTION("""COMPUTED_VALUE"""),0.0)</f>
        <v>0</v>
      </c>
      <c r="AK6" s="18">
        <f>IFERROR(__xludf.DUMMYFUNCTION("""COMPUTED_VALUE"""),1.0)</f>
        <v>1</v>
      </c>
      <c r="AL6" s="18">
        <f>IFERROR(__xludf.DUMMYFUNCTION("""COMPUTED_VALUE"""),0.0)</f>
        <v>0</v>
      </c>
      <c r="AM6" s="18">
        <f>IFERROR(__xludf.DUMMYFUNCTION("""COMPUTED_VALUE"""),1.0)</f>
        <v>1</v>
      </c>
      <c r="AN6" s="18">
        <f>IFERROR(__xludf.DUMMYFUNCTION("""COMPUTED_VALUE"""),0.0)</f>
        <v>0</v>
      </c>
      <c r="AO6" s="18">
        <f>IFERROR(__xludf.DUMMYFUNCTION("""COMPUTED_VALUE"""),0.0)</f>
        <v>0</v>
      </c>
    </row>
    <row r="7" ht="22.5" customHeight="1">
      <c r="A7" s="6">
        <v>46134.0</v>
      </c>
      <c r="B7" s="7">
        <v>1.0</v>
      </c>
      <c r="C7" s="8" t="s">
        <v>21</v>
      </c>
      <c r="D7" s="9" t="s">
        <v>37</v>
      </c>
      <c r="E7" s="10" t="s">
        <v>38</v>
      </c>
      <c r="F7" s="7">
        <v>5.0</v>
      </c>
      <c r="H7" s="11" t="s">
        <v>16</v>
      </c>
      <c r="I7" s="12">
        <f t="shared" si="1"/>
        <v>5</v>
      </c>
      <c r="J7" s="13">
        <f t="shared" si="2"/>
        <v>4</v>
      </c>
      <c r="K7" s="13">
        <f t="shared" si="3"/>
        <v>0</v>
      </c>
      <c r="L7" s="13">
        <f t="shared" si="4"/>
        <v>1</v>
      </c>
      <c r="M7" s="14">
        <f t="shared" si="5"/>
        <v>0.8</v>
      </c>
      <c r="O7" s="20" t="s">
        <v>16</v>
      </c>
      <c r="P7" s="16" t="s">
        <v>36</v>
      </c>
      <c r="R7" s="17" t="s">
        <v>16</v>
      </c>
      <c r="S7" s="18">
        <f>IFERROR(__xludf.DUMMYFUNCTION("""COMPUTED_VALUE"""),4.0)</f>
        <v>4</v>
      </c>
      <c r="T7" s="18">
        <f>IFERROR(__xludf.DUMMYFUNCTION("""COMPUTED_VALUE"""),0.0)</f>
        <v>0</v>
      </c>
      <c r="U7" s="18">
        <f>IFERROR(__xludf.DUMMYFUNCTION("""COMPUTED_VALUE"""),0.0)</f>
        <v>0</v>
      </c>
      <c r="V7" s="18">
        <f>IFERROR(__xludf.DUMMYFUNCTION("""COMPUTED_VALUE"""),0.0)</f>
        <v>0</v>
      </c>
      <c r="W7" s="18">
        <f>IFERROR(__xludf.DUMMYFUNCTION("""COMPUTED_VALUE"""),0.0)</f>
        <v>0</v>
      </c>
      <c r="X7" s="18" t="str">
        <f>IFERROR(__xludf.DUMMYFUNCTION("""COMPUTED_VALUE"""),"-")</f>
        <v>-</v>
      </c>
      <c r="Y7" s="18">
        <f>IFERROR(__xludf.DUMMYFUNCTION("""COMPUTED_VALUE"""),0.0)</f>
        <v>0</v>
      </c>
      <c r="Z7" s="18">
        <f>IFERROR(__xludf.DUMMYFUNCTION("""COMPUTED_VALUE"""),1.0)</f>
        <v>1</v>
      </c>
      <c r="AA7" s="18">
        <f>IFERROR(__xludf.DUMMYFUNCTION("""COMPUTED_VALUE"""),0.0)</f>
        <v>0</v>
      </c>
      <c r="AB7" s="18">
        <f>IFERROR(__xludf.DUMMYFUNCTION("""COMPUTED_VALUE"""),0.0)</f>
        <v>0</v>
      </c>
      <c r="AC7" s="18">
        <f>IFERROR(__xludf.DUMMYFUNCTION("""COMPUTED_VALUE"""),2.0)</f>
        <v>2</v>
      </c>
      <c r="AD7" s="18">
        <f>IFERROR(__xludf.DUMMYFUNCTION("""COMPUTED_VALUE"""),0.0)</f>
        <v>0</v>
      </c>
      <c r="AE7" s="18">
        <f>IFERROR(__xludf.DUMMYFUNCTION("""COMPUTED_VALUE"""),0.0)</f>
        <v>0</v>
      </c>
      <c r="AF7" s="18">
        <f>IFERROR(__xludf.DUMMYFUNCTION("""COMPUTED_VALUE"""),0.0)</f>
        <v>0</v>
      </c>
      <c r="AG7" s="18">
        <f>IFERROR(__xludf.DUMMYFUNCTION("""COMPUTED_VALUE"""),0.0)</f>
        <v>0</v>
      </c>
      <c r="AH7" s="18">
        <f>IFERROR(__xludf.DUMMYFUNCTION("""COMPUTED_VALUE"""),2.0)</f>
        <v>2</v>
      </c>
      <c r="AI7" s="18">
        <f>IFERROR(__xludf.DUMMYFUNCTION("""COMPUTED_VALUE"""),0.0)</f>
        <v>0</v>
      </c>
      <c r="AJ7" s="18">
        <f>IFERROR(__xludf.DUMMYFUNCTION("""COMPUTED_VALUE"""),3.0)</f>
        <v>3</v>
      </c>
      <c r="AK7" s="18">
        <f>IFERROR(__xludf.DUMMYFUNCTION("""COMPUTED_VALUE"""),4.0)</f>
        <v>4</v>
      </c>
      <c r="AL7" s="18">
        <f>IFERROR(__xludf.DUMMYFUNCTION("""COMPUTED_VALUE"""),0.0)</f>
        <v>0</v>
      </c>
      <c r="AM7" s="18">
        <f>IFERROR(__xludf.DUMMYFUNCTION("""COMPUTED_VALUE"""),4.0)</f>
        <v>4</v>
      </c>
      <c r="AN7" s="18">
        <f>IFERROR(__xludf.DUMMYFUNCTION("""COMPUTED_VALUE"""),0.0)</f>
        <v>0</v>
      </c>
      <c r="AO7" s="18">
        <f>IFERROR(__xludf.DUMMYFUNCTION("""COMPUTED_VALUE"""),0.0)</f>
        <v>0</v>
      </c>
    </row>
    <row r="8" ht="22.5" customHeight="1">
      <c r="A8" s="6">
        <v>46134.0</v>
      </c>
      <c r="B8" s="7">
        <v>1.0</v>
      </c>
      <c r="C8" s="8" t="s">
        <v>19</v>
      </c>
      <c r="D8" s="9" t="s">
        <v>37</v>
      </c>
      <c r="E8" s="10" t="s">
        <v>38</v>
      </c>
      <c r="F8" s="7">
        <v>5.0</v>
      </c>
      <c r="H8" s="11" t="s">
        <v>17</v>
      </c>
      <c r="I8" s="12">
        <f t="shared" si="1"/>
        <v>1</v>
      </c>
      <c r="J8" s="13">
        <f t="shared" si="2"/>
        <v>0</v>
      </c>
      <c r="K8" s="13">
        <f t="shared" si="3"/>
        <v>0</v>
      </c>
      <c r="L8" s="13">
        <f t="shared" si="4"/>
        <v>1</v>
      </c>
      <c r="M8" s="14">
        <f t="shared" si="5"/>
        <v>0</v>
      </c>
      <c r="O8" s="20" t="s">
        <v>17</v>
      </c>
      <c r="P8" s="16" t="s">
        <v>36</v>
      </c>
      <c r="R8" s="17" t="s">
        <v>17</v>
      </c>
      <c r="S8" s="18">
        <f>IFERROR(__xludf.DUMMYFUNCTION("""COMPUTED_VALUE"""),0.0)</f>
        <v>0</v>
      </c>
      <c r="T8" s="18">
        <f>IFERROR(__xludf.DUMMYFUNCTION("""COMPUTED_VALUE"""),0.0)</f>
        <v>0</v>
      </c>
      <c r="U8" s="18">
        <f>IFERROR(__xludf.DUMMYFUNCTION("""COMPUTED_VALUE"""),0.0)</f>
        <v>0</v>
      </c>
      <c r="V8" s="18">
        <f>IFERROR(__xludf.DUMMYFUNCTION("""COMPUTED_VALUE"""),1.0)</f>
        <v>1</v>
      </c>
      <c r="W8" s="18">
        <f>IFERROR(__xludf.DUMMYFUNCTION("""COMPUTED_VALUE"""),0.0)</f>
        <v>0</v>
      </c>
      <c r="X8" s="18">
        <f>IFERROR(__xludf.DUMMYFUNCTION("""COMPUTED_VALUE"""),0.0)</f>
        <v>0</v>
      </c>
      <c r="Y8" s="18" t="str">
        <f>IFERROR(__xludf.DUMMYFUNCTION("""COMPUTED_VALUE"""),"-")</f>
        <v>-</v>
      </c>
      <c r="Z8" s="18">
        <f>IFERROR(__xludf.DUMMYFUNCTION("""COMPUTED_VALUE"""),0.0)</f>
        <v>0</v>
      </c>
      <c r="AA8" s="18">
        <f>IFERROR(__xludf.DUMMYFUNCTION("""COMPUTED_VALUE"""),1.0)</f>
        <v>1</v>
      </c>
      <c r="AB8" s="18">
        <f>IFERROR(__xludf.DUMMYFUNCTION("""COMPUTED_VALUE"""),0.0)</f>
        <v>0</v>
      </c>
      <c r="AC8" s="18">
        <f>IFERROR(__xludf.DUMMYFUNCTION("""COMPUTED_VALUE"""),1.0)</f>
        <v>1</v>
      </c>
      <c r="AD8" s="18">
        <f>IFERROR(__xludf.DUMMYFUNCTION("""COMPUTED_VALUE"""),0.0)</f>
        <v>0</v>
      </c>
      <c r="AE8" s="18">
        <f>IFERROR(__xludf.DUMMYFUNCTION("""COMPUTED_VALUE"""),1.0)</f>
        <v>1</v>
      </c>
      <c r="AF8" s="18">
        <f>IFERROR(__xludf.DUMMYFUNCTION("""COMPUTED_VALUE"""),0.0)</f>
        <v>0</v>
      </c>
      <c r="AG8" s="18">
        <f>IFERROR(__xludf.DUMMYFUNCTION("""COMPUTED_VALUE"""),0.0)</f>
        <v>0</v>
      </c>
      <c r="AH8" s="18">
        <f>IFERROR(__xludf.DUMMYFUNCTION("""COMPUTED_VALUE"""),0.0)</f>
        <v>0</v>
      </c>
      <c r="AI8" s="18">
        <f>IFERROR(__xludf.DUMMYFUNCTION("""COMPUTED_VALUE"""),0.0)</f>
        <v>0</v>
      </c>
      <c r="AJ8" s="18">
        <f>IFERROR(__xludf.DUMMYFUNCTION("""COMPUTED_VALUE"""),0.0)</f>
        <v>0</v>
      </c>
      <c r="AK8" s="18">
        <f>IFERROR(__xludf.DUMMYFUNCTION("""COMPUTED_VALUE"""),0.0)</f>
        <v>0</v>
      </c>
      <c r="AL8" s="18">
        <f>IFERROR(__xludf.DUMMYFUNCTION("""COMPUTED_VALUE"""),0.0)</f>
        <v>0</v>
      </c>
      <c r="AM8" s="18">
        <f>IFERROR(__xludf.DUMMYFUNCTION("""COMPUTED_VALUE"""),0.0)</f>
        <v>0</v>
      </c>
      <c r="AN8" s="18">
        <f>IFERROR(__xludf.DUMMYFUNCTION("""COMPUTED_VALUE"""),0.0)</f>
        <v>0</v>
      </c>
      <c r="AO8" s="18">
        <f>IFERROR(__xludf.DUMMYFUNCTION("""COMPUTED_VALUE"""),0.0)</f>
        <v>0</v>
      </c>
    </row>
    <row r="9" ht="22.5" customHeight="1">
      <c r="A9" s="6">
        <v>46134.0</v>
      </c>
      <c r="B9" s="7">
        <v>1.0</v>
      </c>
      <c r="C9" s="8" t="s">
        <v>23</v>
      </c>
      <c r="D9" s="9" t="s">
        <v>37</v>
      </c>
      <c r="E9" s="10" t="s">
        <v>38</v>
      </c>
      <c r="F9" s="7">
        <v>5.0</v>
      </c>
      <c r="H9" s="11" t="s">
        <v>18</v>
      </c>
      <c r="I9" s="12">
        <f t="shared" si="1"/>
        <v>14</v>
      </c>
      <c r="J9" s="13">
        <f t="shared" si="2"/>
        <v>5</v>
      </c>
      <c r="K9" s="13">
        <f t="shared" si="3"/>
        <v>3</v>
      </c>
      <c r="L9" s="13">
        <f t="shared" si="4"/>
        <v>6</v>
      </c>
      <c r="M9" s="14">
        <f t="shared" si="5"/>
        <v>0.3571428571</v>
      </c>
      <c r="O9" s="20" t="s">
        <v>18</v>
      </c>
      <c r="P9" s="16" t="s">
        <v>38</v>
      </c>
      <c r="R9" s="17" t="s">
        <v>18</v>
      </c>
      <c r="S9" s="18">
        <f>IFERROR(__xludf.DUMMYFUNCTION("""COMPUTED_VALUE"""),4.0)</f>
        <v>4</v>
      </c>
      <c r="T9" s="18">
        <f>IFERROR(__xludf.DUMMYFUNCTION("""COMPUTED_VALUE"""),1.0)</f>
        <v>1</v>
      </c>
      <c r="U9" s="18">
        <f>IFERROR(__xludf.DUMMYFUNCTION("""COMPUTED_VALUE"""),1.0)</f>
        <v>1</v>
      </c>
      <c r="V9" s="18">
        <f>IFERROR(__xludf.DUMMYFUNCTION("""COMPUTED_VALUE"""),3.0)</f>
        <v>3</v>
      </c>
      <c r="W9" s="18">
        <f>IFERROR(__xludf.DUMMYFUNCTION("""COMPUTED_VALUE"""),0.0)</f>
        <v>0</v>
      </c>
      <c r="X9" s="18">
        <f>IFERROR(__xludf.DUMMYFUNCTION("""COMPUTED_VALUE"""),1.0)</f>
        <v>1</v>
      </c>
      <c r="Y9" s="18">
        <f>IFERROR(__xludf.DUMMYFUNCTION("""COMPUTED_VALUE"""),0.0)</f>
        <v>0</v>
      </c>
      <c r="Z9" s="18" t="str">
        <f>IFERROR(__xludf.DUMMYFUNCTION("""COMPUTED_VALUE"""),"-")</f>
        <v>-</v>
      </c>
      <c r="AA9" s="18">
        <f>IFERROR(__xludf.DUMMYFUNCTION("""COMPUTED_VALUE"""),0.0)</f>
        <v>0</v>
      </c>
      <c r="AB9" s="18">
        <f>IFERROR(__xludf.DUMMYFUNCTION("""COMPUTED_VALUE"""),2.0)</f>
        <v>2</v>
      </c>
      <c r="AC9" s="18">
        <f>IFERROR(__xludf.DUMMYFUNCTION("""COMPUTED_VALUE"""),3.0)</f>
        <v>3</v>
      </c>
      <c r="AD9" s="18">
        <f>IFERROR(__xludf.DUMMYFUNCTION("""COMPUTED_VALUE"""),1.0)</f>
        <v>1</v>
      </c>
      <c r="AE9" s="18">
        <f>IFERROR(__xludf.DUMMYFUNCTION("""COMPUTED_VALUE"""),0.0)</f>
        <v>0</v>
      </c>
      <c r="AF9" s="18">
        <f>IFERROR(__xludf.DUMMYFUNCTION("""COMPUTED_VALUE"""),3.0)</f>
        <v>3</v>
      </c>
      <c r="AG9" s="18">
        <f>IFERROR(__xludf.DUMMYFUNCTION("""COMPUTED_VALUE"""),6.0)</f>
        <v>6</v>
      </c>
      <c r="AH9" s="18">
        <f>IFERROR(__xludf.DUMMYFUNCTION("""COMPUTED_VALUE"""),8.0)</f>
        <v>8</v>
      </c>
      <c r="AI9" s="18">
        <f>IFERROR(__xludf.DUMMYFUNCTION("""COMPUTED_VALUE"""),1.0)</f>
        <v>1</v>
      </c>
      <c r="AJ9" s="18">
        <f>IFERROR(__xludf.DUMMYFUNCTION("""COMPUTED_VALUE"""),6.0)</f>
        <v>6</v>
      </c>
      <c r="AK9" s="18">
        <f>IFERROR(__xludf.DUMMYFUNCTION("""COMPUTED_VALUE"""),5.0)</f>
        <v>5</v>
      </c>
      <c r="AL9" s="18">
        <f>IFERROR(__xludf.DUMMYFUNCTION("""COMPUTED_VALUE"""),1.0)</f>
        <v>1</v>
      </c>
      <c r="AM9" s="18">
        <f>IFERROR(__xludf.DUMMYFUNCTION("""COMPUTED_VALUE"""),8.0)</f>
        <v>8</v>
      </c>
      <c r="AN9" s="18">
        <f>IFERROR(__xludf.DUMMYFUNCTION("""COMPUTED_VALUE"""),0.0)</f>
        <v>0</v>
      </c>
      <c r="AO9" s="18">
        <f>IFERROR(__xludf.DUMMYFUNCTION("""COMPUTED_VALUE"""),1.0)</f>
        <v>1</v>
      </c>
    </row>
    <row r="10" ht="22.5" customHeight="1">
      <c r="A10" s="6">
        <v>46134.0</v>
      </c>
      <c r="B10" s="7">
        <v>1.0</v>
      </c>
      <c r="C10" s="8" t="s">
        <v>26</v>
      </c>
      <c r="D10" s="9" t="s">
        <v>34</v>
      </c>
      <c r="E10" s="8" t="s">
        <v>35</v>
      </c>
      <c r="F10" s="7">
        <v>15.0</v>
      </c>
      <c r="H10" s="11" t="s">
        <v>19</v>
      </c>
      <c r="I10" s="12">
        <f t="shared" si="1"/>
        <v>3</v>
      </c>
      <c r="J10" s="13">
        <f t="shared" si="2"/>
        <v>1</v>
      </c>
      <c r="K10" s="13">
        <f t="shared" si="3"/>
        <v>0</v>
      </c>
      <c r="L10" s="13">
        <f t="shared" si="4"/>
        <v>2</v>
      </c>
      <c r="M10" s="14">
        <f t="shared" si="5"/>
        <v>0.3333333333</v>
      </c>
      <c r="O10" s="20" t="s">
        <v>19</v>
      </c>
      <c r="P10" s="16" t="s">
        <v>38</v>
      </c>
      <c r="R10" s="17" t="s">
        <v>19</v>
      </c>
      <c r="S10" s="18">
        <f>IFERROR(__xludf.DUMMYFUNCTION("""COMPUTED_VALUE"""),0.0)</f>
        <v>0</v>
      </c>
      <c r="T10" s="18">
        <f>IFERROR(__xludf.DUMMYFUNCTION("""COMPUTED_VALUE"""),0.0)</f>
        <v>0</v>
      </c>
      <c r="U10" s="18">
        <f>IFERROR(__xludf.DUMMYFUNCTION("""COMPUTED_VALUE"""),0.0)</f>
        <v>0</v>
      </c>
      <c r="V10" s="18">
        <f>IFERROR(__xludf.DUMMYFUNCTION("""COMPUTED_VALUE"""),2.0)</f>
        <v>2</v>
      </c>
      <c r="W10" s="18">
        <f>IFERROR(__xludf.DUMMYFUNCTION("""COMPUTED_VALUE"""),0.0)</f>
        <v>0</v>
      </c>
      <c r="X10" s="18">
        <f>IFERROR(__xludf.DUMMYFUNCTION("""COMPUTED_VALUE"""),0.0)</f>
        <v>0</v>
      </c>
      <c r="Y10" s="18">
        <f>IFERROR(__xludf.DUMMYFUNCTION("""COMPUTED_VALUE"""),1.0)</f>
        <v>1</v>
      </c>
      <c r="Z10" s="18">
        <f>IFERROR(__xludf.DUMMYFUNCTION("""COMPUTED_VALUE"""),0.0)</f>
        <v>0</v>
      </c>
      <c r="AA10" s="18" t="str">
        <f>IFERROR(__xludf.DUMMYFUNCTION("""COMPUTED_VALUE"""),"-")</f>
        <v>-</v>
      </c>
      <c r="AB10" s="18">
        <f>IFERROR(__xludf.DUMMYFUNCTION("""COMPUTED_VALUE"""),0.0)</f>
        <v>0</v>
      </c>
      <c r="AC10" s="18">
        <f>IFERROR(__xludf.DUMMYFUNCTION("""COMPUTED_VALUE"""),2.0)</f>
        <v>2</v>
      </c>
      <c r="AD10" s="18">
        <f>IFERROR(__xludf.DUMMYFUNCTION("""COMPUTED_VALUE"""),0.0)</f>
        <v>0</v>
      </c>
      <c r="AE10" s="18">
        <f>IFERROR(__xludf.DUMMYFUNCTION("""COMPUTED_VALUE"""),2.0)</f>
        <v>2</v>
      </c>
      <c r="AF10" s="18">
        <f>IFERROR(__xludf.DUMMYFUNCTION("""COMPUTED_VALUE"""),0.0)</f>
        <v>0</v>
      </c>
      <c r="AG10" s="18">
        <f>IFERROR(__xludf.DUMMYFUNCTION("""COMPUTED_VALUE"""),2.0)</f>
        <v>2</v>
      </c>
      <c r="AH10" s="18">
        <f>IFERROR(__xludf.DUMMYFUNCTION("""COMPUTED_VALUE"""),1.0)</f>
        <v>1</v>
      </c>
      <c r="AI10" s="18">
        <f>IFERROR(__xludf.DUMMYFUNCTION("""COMPUTED_VALUE"""),0.0)</f>
        <v>0</v>
      </c>
      <c r="AJ10" s="18">
        <f>IFERROR(__xludf.DUMMYFUNCTION("""COMPUTED_VALUE"""),0.0)</f>
        <v>0</v>
      </c>
      <c r="AK10" s="18">
        <f>IFERROR(__xludf.DUMMYFUNCTION("""COMPUTED_VALUE"""),1.0)</f>
        <v>1</v>
      </c>
      <c r="AL10" s="18">
        <f>IFERROR(__xludf.DUMMYFUNCTION("""COMPUTED_VALUE"""),0.0)</f>
        <v>0</v>
      </c>
      <c r="AM10" s="18">
        <f>IFERROR(__xludf.DUMMYFUNCTION("""COMPUTED_VALUE"""),0.0)</f>
        <v>0</v>
      </c>
      <c r="AN10" s="18">
        <f>IFERROR(__xludf.DUMMYFUNCTION("""COMPUTED_VALUE"""),0.0)</f>
        <v>0</v>
      </c>
      <c r="AO10" s="18">
        <f>IFERROR(__xludf.DUMMYFUNCTION("""COMPUTED_VALUE"""),0.0)</f>
        <v>0</v>
      </c>
    </row>
    <row r="11" ht="22.5" customHeight="1">
      <c r="A11" s="6">
        <v>46134.0</v>
      </c>
      <c r="B11" s="7">
        <v>1.0</v>
      </c>
      <c r="C11" s="8" t="s">
        <v>39</v>
      </c>
      <c r="D11" s="9" t="s">
        <v>34</v>
      </c>
      <c r="E11" s="8" t="s">
        <v>35</v>
      </c>
      <c r="F11" s="7">
        <v>15.0</v>
      </c>
      <c r="H11" s="11" t="s">
        <v>20</v>
      </c>
      <c r="I11" s="12">
        <f t="shared" si="1"/>
        <v>4</v>
      </c>
      <c r="J11" s="13">
        <f t="shared" si="2"/>
        <v>1</v>
      </c>
      <c r="K11" s="13">
        <f t="shared" si="3"/>
        <v>2</v>
      </c>
      <c r="L11" s="13">
        <f t="shared" si="4"/>
        <v>1</v>
      </c>
      <c r="M11" s="14">
        <f t="shared" si="5"/>
        <v>0.25</v>
      </c>
      <c r="O11" s="20" t="s">
        <v>20</v>
      </c>
      <c r="P11" s="16" t="s">
        <v>34</v>
      </c>
      <c r="R11" s="17" t="s">
        <v>20</v>
      </c>
      <c r="S11" s="18">
        <f>IFERROR(__xludf.DUMMYFUNCTION("""COMPUTED_VALUE"""),1.0)</f>
        <v>1</v>
      </c>
      <c r="T11" s="18">
        <f>IFERROR(__xludf.DUMMYFUNCTION("""COMPUTED_VALUE"""),0.0)</f>
        <v>0</v>
      </c>
      <c r="U11" s="18">
        <f>IFERROR(__xludf.DUMMYFUNCTION("""COMPUTED_VALUE"""),0.0)</f>
        <v>0</v>
      </c>
      <c r="V11" s="18">
        <f>IFERROR(__xludf.DUMMYFUNCTION("""COMPUTED_VALUE"""),0.0)</f>
        <v>0</v>
      </c>
      <c r="W11" s="18">
        <f>IFERROR(__xludf.DUMMYFUNCTION("""COMPUTED_VALUE"""),0.0)</f>
        <v>0</v>
      </c>
      <c r="X11" s="18">
        <f>IFERROR(__xludf.DUMMYFUNCTION("""COMPUTED_VALUE"""),0.0)</f>
        <v>0</v>
      </c>
      <c r="Y11" s="18">
        <f>IFERROR(__xludf.DUMMYFUNCTION("""COMPUTED_VALUE"""),0.0)</f>
        <v>0</v>
      </c>
      <c r="Z11" s="18">
        <f>IFERROR(__xludf.DUMMYFUNCTION("""COMPUTED_VALUE"""),2.0)</f>
        <v>2</v>
      </c>
      <c r="AA11" s="18">
        <f>IFERROR(__xludf.DUMMYFUNCTION("""COMPUTED_VALUE"""),0.0)</f>
        <v>0</v>
      </c>
      <c r="AB11" s="18" t="str">
        <f>IFERROR(__xludf.DUMMYFUNCTION("""COMPUTED_VALUE"""),"-")</f>
        <v>-</v>
      </c>
      <c r="AC11" s="18">
        <f>IFERROR(__xludf.DUMMYFUNCTION("""COMPUTED_VALUE"""),4.0)</f>
        <v>4</v>
      </c>
      <c r="AD11" s="18">
        <f>IFERROR(__xludf.DUMMYFUNCTION("""COMPUTED_VALUE"""),1.0)</f>
        <v>1</v>
      </c>
      <c r="AE11" s="18">
        <f>IFERROR(__xludf.DUMMYFUNCTION("""COMPUTED_VALUE"""),0.0)</f>
        <v>0</v>
      </c>
      <c r="AF11" s="18">
        <f>IFERROR(__xludf.DUMMYFUNCTION("""COMPUTED_VALUE"""),0.0)</f>
        <v>0</v>
      </c>
      <c r="AG11" s="18">
        <f>IFERROR(__xludf.DUMMYFUNCTION("""COMPUTED_VALUE"""),1.0)</f>
        <v>1</v>
      </c>
      <c r="AH11" s="18">
        <f>IFERROR(__xludf.DUMMYFUNCTION("""COMPUTED_VALUE"""),2.0)</f>
        <v>2</v>
      </c>
      <c r="AI11" s="18">
        <f>IFERROR(__xludf.DUMMYFUNCTION("""COMPUTED_VALUE"""),0.0)</f>
        <v>0</v>
      </c>
      <c r="AJ11" s="18">
        <f>IFERROR(__xludf.DUMMYFUNCTION("""COMPUTED_VALUE"""),2.0)</f>
        <v>2</v>
      </c>
      <c r="AK11" s="18">
        <f>IFERROR(__xludf.DUMMYFUNCTION("""COMPUTED_VALUE"""),2.0)</f>
        <v>2</v>
      </c>
      <c r="AL11" s="18">
        <f>IFERROR(__xludf.DUMMYFUNCTION("""COMPUTED_VALUE"""),0.0)</f>
        <v>0</v>
      </c>
      <c r="AM11" s="18">
        <f>IFERROR(__xludf.DUMMYFUNCTION("""COMPUTED_VALUE"""),1.0)</f>
        <v>1</v>
      </c>
      <c r="AN11" s="18">
        <f>IFERROR(__xludf.DUMMYFUNCTION("""COMPUTED_VALUE"""),0.0)</f>
        <v>0</v>
      </c>
      <c r="AO11" s="18">
        <f>IFERROR(__xludf.DUMMYFUNCTION("""COMPUTED_VALUE"""),0.0)</f>
        <v>0</v>
      </c>
    </row>
    <row r="12" ht="22.5" customHeight="1">
      <c r="A12" s="6">
        <v>46141.0</v>
      </c>
      <c r="B12" s="19">
        <v>2.0</v>
      </c>
      <c r="C12" s="8" t="s">
        <v>28</v>
      </c>
      <c r="D12" s="9" t="s">
        <v>34</v>
      </c>
      <c r="E12" s="10" t="s">
        <v>35</v>
      </c>
      <c r="F12" s="7">
        <v>14.0</v>
      </c>
      <c r="H12" s="11" t="s">
        <v>21</v>
      </c>
      <c r="I12" s="12">
        <f t="shared" si="1"/>
        <v>16</v>
      </c>
      <c r="J12" s="13">
        <f t="shared" si="2"/>
        <v>8</v>
      </c>
      <c r="K12" s="13">
        <f t="shared" si="3"/>
        <v>3</v>
      </c>
      <c r="L12" s="13">
        <f t="shared" si="4"/>
        <v>5</v>
      </c>
      <c r="M12" s="14">
        <f t="shared" si="5"/>
        <v>0.5</v>
      </c>
      <c r="O12" s="20" t="s">
        <v>21</v>
      </c>
      <c r="P12" s="16" t="s">
        <v>36</v>
      </c>
      <c r="R12" s="17" t="s">
        <v>21</v>
      </c>
      <c r="S12" s="18">
        <f>IFERROR(__xludf.DUMMYFUNCTION("""COMPUTED_VALUE"""),7.0)</f>
        <v>7</v>
      </c>
      <c r="T12" s="18">
        <f>IFERROR(__xludf.DUMMYFUNCTION("""COMPUTED_VALUE"""),0.0)</f>
        <v>0</v>
      </c>
      <c r="U12" s="18">
        <f>IFERROR(__xludf.DUMMYFUNCTION("""COMPUTED_VALUE"""),0.0)</f>
        <v>0</v>
      </c>
      <c r="V12" s="18">
        <f>IFERROR(__xludf.DUMMYFUNCTION("""COMPUTED_VALUE"""),4.0)</f>
        <v>4</v>
      </c>
      <c r="W12" s="18">
        <f>IFERROR(__xludf.DUMMYFUNCTION("""COMPUTED_VALUE"""),0.0)</f>
        <v>0</v>
      </c>
      <c r="X12" s="18">
        <f>IFERROR(__xludf.DUMMYFUNCTION("""COMPUTED_VALUE"""),2.0)</f>
        <v>2</v>
      </c>
      <c r="Y12" s="18">
        <f>IFERROR(__xludf.DUMMYFUNCTION("""COMPUTED_VALUE"""),1.0)</f>
        <v>1</v>
      </c>
      <c r="Z12" s="18">
        <f>IFERROR(__xludf.DUMMYFUNCTION("""COMPUTED_VALUE"""),3.0)</f>
        <v>3</v>
      </c>
      <c r="AA12" s="18">
        <f>IFERROR(__xludf.DUMMYFUNCTION("""COMPUTED_VALUE"""),2.0)</f>
        <v>2</v>
      </c>
      <c r="AB12" s="18">
        <f>IFERROR(__xludf.DUMMYFUNCTION("""COMPUTED_VALUE"""),4.0)</f>
        <v>4</v>
      </c>
      <c r="AC12" s="18" t="str">
        <f>IFERROR(__xludf.DUMMYFUNCTION("""COMPUTED_VALUE"""),"-")</f>
        <v>-</v>
      </c>
      <c r="AD12" s="18">
        <f>IFERROR(__xludf.DUMMYFUNCTION("""COMPUTED_VALUE"""),1.0)</f>
        <v>1</v>
      </c>
      <c r="AE12" s="18">
        <f>IFERROR(__xludf.DUMMYFUNCTION("""COMPUTED_VALUE"""),2.0)</f>
        <v>2</v>
      </c>
      <c r="AF12" s="18">
        <f>IFERROR(__xludf.DUMMYFUNCTION("""COMPUTED_VALUE"""),2.0)</f>
        <v>2</v>
      </c>
      <c r="AG12" s="18">
        <f>IFERROR(__xludf.DUMMYFUNCTION("""COMPUTED_VALUE"""),6.0)</f>
        <v>6</v>
      </c>
      <c r="AH12" s="18">
        <f>IFERROR(__xludf.DUMMYFUNCTION("""COMPUTED_VALUE"""),7.0)</f>
        <v>7</v>
      </c>
      <c r="AI12" s="18">
        <f>IFERROR(__xludf.DUMMYFUNCTION("""COMPUTED_VALUE"""),2.0)</f>
        <v>2</v>
      </c>
      <c r="AJ12" s="18">
        <f>IFERROR(__xludf.DUMMYFUNCTION("""COMPUTED_VALUE"""),7.0)</f>
        <v>7</v>
      </c>
      <c r="AK12" s="18">
        <f>IFERROR(__xludf.DUMMYFUNCTION("""COMPUTED_VALUE"""),8.0)</f>
        <v>8</v>
      </c>
      <c r="AL12" s="18">
        <f>IFERROR(__xludf.DUMMYFUNCTION("""COMPUTED_VALUE"""),1.0)</f>
        <v>1</v>
      </c>
      <c r="AM12" s="18">
        <f>IFERROR(__xludf.DUMMYFUNCTION("""COMPUTED_VALUE"""),4.0)</f>
        <v>4</v>
      </c>
      <c r="AN12" s="18">
        <f>IFERROR(__xludf.DUMMYFUNCTION("""COMPUTED_VALUE"""),1.0)</f>
        <v>1</v>
      </c>
      <c r="AO12" s="18">
        <f>IFERROR(__xludf.DUMMYFUNCTION("""COMPUTED_VALUE"""),0.0)</f>
        <v>0</v>
      </c>
    </row>
    <row r="13" ht="22.5" customHeight="1">
      <c r="A13" s="6">
        <v>46141.0</v>
      </c>
      <c r="B13" s="19">
        <v>2.0</v>
      </c>
      <c r="C13" s="8" t="s">
        <v>25</v>
      </c>
      <c r="D13" s="9" t="s">
        <v>37</v>
      </c>
      <c r="E13" s="8" t="s">
        <v>38</v>
      </c>
      <c r="F13" s="7">
        <v>7.0</v>
      </c>
      <c r="H13" s="11" t="s">
        <v>22</v>
      </c>
      <c r="I13" s="12">
        <f t="shared" si="1"/>
        <v>3</v>
      </c>
      <c r="J13" s="13">
        <f t="shared" si="2"/>
        <v>1</v>
      </c>
      <c r="K13" s="13">
        <f t="shared" si="3"/>
        <v>0</v>
      </c>
      <c r="L13" s="13">
        <f t="shared" si="4"/>
        <v>2</v>
      </c>
      <c r="M13" s="14">
        <f t="shared" si="5"/>
        <v>0.3333333333</v>
      </c>
      <c r="O13" s="20" t="s">
        <v>22</v>
      </c>
      <c r="P13" s="16" t="s">
        <v>36</v>
      </c>
      <c r="R13" s="17" t="s">
        <v>22</v>
      </c>
      <c r="S13" s="18">
        <f>IFERROR(__xludf.DUMMYFUNCTION("""COMPUTED_VALUE"""),0.0)</f>
        <v>0</v>
      </c>
      <c r="T13" s="18">
        <f>IFERROR(__xludf.DUMMYFUNCTION("""COMPUTED_VALUE"""),0.0)</f>
        <v>0</v>
      </c>
      <c r="U13" s="18">
        <f>IFERROR(__xludf.DUMMYFUNCTION("""COMPUTED_VALUE"""),0.0)</f>
        <v>0</v>
      </c>
      <c r="V13" s="18">
        <f>IFERROR(__xludf.DUMMYFUNCTION("""COMPUTED_VALUE"""),1.0)</f>
        <v>1</v>
      </c>
      <c r="W13" s="18">
        <f>IFERROR(__xludf.DUMMYFUNCTION("""COMPUTED_VALUE"""),0.0)</f>
        <v>0</v>
      </c>
      <c r="X13" s="18">
        <f>IFERROR(__xludf.DUMMYFUNCTION("""COMPUTED_VALUE"""),0.0)</f>
        <v>0</v>
      </c>
      <c r="Y13" s="18">
        <f>IFERROR(__xludf.DUMMYFUNCTION("""COMPUTED_VALUE"""),0.0)</f>
        <v>0</v>
      </c>
      <c r="Z13" s="18">
        <f>IFERROR(__xludf.DUMMYFUNCTION("""COMPUTED_VALUE"""),1.0)</f>
        <v>1</v>
      </c>
      <c r="AA13" s="18">
        <f>IFERROR(__xludf.DUMMYFUNCTION("""COMPUTED_VALUE"""),0.0)</f>
        <v>0</v>
      </c>
      <c r="AB13" s="18">
        <f>IFERROR(__xludf.DUMMYFUNCTION("""COMPUTED_VALUE"""),1.0)</f>
        <v>1</v>
      </c>
      <c r="AC13" s="18">
        <f>IFERROR(__xludf.DUMMYFUNCTION("""COMPUTED_VALUE"""),1.0)</f>
        <v>1</v>
      </c>
      <c r="AD13" s="18" t="str">
        <f>IFERROR(__xludf.DUMMYFUNCTION("""COMPUTED_VALUE"""),"-")</f>
        <v>-</v>
      </c>
      <c r="AE13" s="18">
        <f>IFERROR(__xludf.DUMMYFUNCTION("""COMPUTED_VALUE"""),0.0)</f>
        <v>0</v>
      </c>
      <c r="AF13" s="18">
        <f>IFERROR(__xludf.DUMMYFUNCTION("""COMPUTED_VALUE"""),2.0)</f>
        <v>2</v>
      </c>
      <c r="AG13" s="18">
        <f>IFERROR(__xludf.DUMMYFUNCTION("""COMPUTED_VALUE"""),2.0)</f>
        <v>2</v>
      </c>
      <c r="AH13" s="18">
        <f>IFERROR(__xludf.DUMMYFUNCTION("""COMPUTED_VALUE"""),0.0)</f>
        <v>0</v>
      </c>
      <c r="AI13" s="18">
        <f>IFERROR(__xludf.DUMMYFUNCTION("""COMPUTED_VALUE"""),0.0)</f>
        <v>0</v>
      </c>
      <c r="AJ13" s="18">
        <f>IFERROR(__xludf.DUMMYFUNCTION("""COMPUTED_VALUE"""),3.0)</f>
        <v>3</v>
      </c>
      <c r="AK13" s="18">
        <f>IFERROR(__xludf.DUMMYFUNCTION("""COMPUTED_VALUE"""),1.0)</f>
        <v>1</v>
      </c>
      <c r="AL13" s="18">
        <f>IFERROR(__xludf.DUMMYFUNCTION("""COMPUTED_VALUE"""),0.0)</f>
        <v>0</v>
      </c>
      <c r="AM13" s="18">
        <f>IFERROR(__xludf.DUMMYFUNCTION("""COMPUTED_VALUE"""),0.0)</f>
        <v>0</v>
      </c>
      <c r="AN13" s="18">
        <f>IFERROR(__xludf.DUMMYFUNCTION("""COMPUTED_VALUE"""),0.0)</f>
        <v>0</v>
      </c>
      <c r="AO13" s="18">
        <f>IFERROR(__xludf.DUMMYFUNCTION("""COMPUTED_VALUE"""),0.0)</f>
        <v>0</v>
      </c>
    </row>
    <row r="14" ht="22.5" customHeight="1">
      <c r="A14" s="6">
        <v>46141.0</v>
      </c>
      <c r="B14" s="7">
        <v>2.0</v>
      </c>
      <c r="C14" s="8" t="s">
        <v>29</v>
      </c>
      <c r="D14" s="9" t="s">
        <v>37</v>
      </c>
      <c r="E14" s="8" t="s">
        <v>38</v>
      </c>
      <c r="F14" s="7">
        <v>7.0</v>
      </c>
      <c r="H14" s="11" t="s">
        <v>23</v>
      </c>
      <c r="I14" s="12">
        <f t="shared" si="1"/>
        <v>3</v>
      </c>
      <c r="J14" s="13">
        <f t="shared" si="2"/>
        <v>1</v>
      </c>
      <c r="K14" s="13">
        <f t="shared" si="3"/>
        <v>0</v>
      </c>
      <c r="L14" s="13">
        <f t="shared" si="4"/>
        <v>2</v>
      </c>
      <c r="M14" s="14">
        <f t="shared" si="5"/>
        <v>0.3333333333</v>
      </c>
      <c r="O14" s="20" t="s">
        <v>23</v>
      </c>
      <c r="P14" s="16" t="s">
        <v>36</v>
      </c>
      <c r="R14" s="17" t="s">
        <v>23</v>
      </c>
      <c r="S14" s="18">
        <f>IFERROR(__xludf.DUMMYFUNCTION("""COMPUTED_VALUE"""),0.0)</f>
        <v>0</v>
      </c>
      <c r="T14" s="18">
        <f>IFERROR(__xludf.DUMMYFUNCTION("""COMPUTED_VALUE"""),0.0)</f>
        <v>0</v>
      </c>
      <c r="U14" s="18">
        <f>IFERROR(__xludf.DUMMYFUNCTION("""COMPUTED_VALUE"""),0.0)</f>
        <v>0</v>
      </c>
      <c r="V14" s="18">
        <f>IFERROR(__xludf.DUMMYFUNCTION("""COMPUTED_VALUE"""),2.0)</f>
        <v>2</v>
      </c>
      <c r="W14" s="18">
        <f>IFERROR(__xludf.DUMMYFUNCTION("""COMPUTED_VALUE"""),0.0)</f>
        <v>0</v>
      </c>
      <c r="X14" s="18">
        <f>IFERROR(__xludf.DUMMYFUNCTION("""COMPUTED_VALUE"""),0.0)</f>
        <v>0</v>
      </c>
      <c r="Y14" s="18">
        <f>IFERROR(__xludf.DUMMYFUNCTION("""COMPUTED_VALUE"""),1.0)</f>
        <v>1</v>
      </c>
      <c r="Z14" s="18">
        <f>IFERROR(__xludf.DUMMYFUNCTION("""COMPUTED_VALUE"""),0.0)</f>
        <v>0</v>
      </c>
      <c r="AA14" s="18">
        <f>IFERROR(__xludf.DUMMYFUNCTION("""COMPUTED_VALUE"""),2.0)</f>
        <v>2</v>
      </c>
      <c r="AB14" s="18">
        <f>IFERROR(__xludf.DUMMYFUNCTION("""COMPUTED_VALUE"""),0.0)</f>
        <v>0</v>
      </c>
      <c r="AC14" s="18">
        <f>IFERROR(__xludf.DUMMYFUNCTION("""COMPUTED_VALUE"""),2.0)</f>
        <v>2</v>
      </c>
      <c r="AD14" s="18">
        <f>IFERROR(__xludf.DUMMYFUNCTION("""COMPUTED_VALUE"""),0.0)</f>
        <v>0</v>
      </c>
      <c r="AE14" s="18" t="str">
        <f>IFERROR(__xludf.DUMMYFUNCTION("""COMPUTED_VALUE"""),"-")</f>
        <v>-</v>
      </c>
      <c r="AF14" s="18">
        <f>IFERROR(__xludf.DUMMYFUNCTION("""COMPUTED_VALUE"""),0.0)</f>
        <v>0</v>
      </c>
      <c r="AG14" s="18">
        <f>IFERROR(__xludf.DUMMYFUNCTION("""COMPUTED_VALUE"""),2.0)</f>
        <v>2</v>
      </c>
      <c r="AH14" s="18">
        <f>IFERROR(__xludf.DUMMYFUNCTION("""COMPUTED_VALUE"""),0.0)</f>
        <v>0</v>
      </c>
      <c r="AI14" s="18">
        <f>IFERROR(__xludf.DUMMYFUNCTION("""COMPUTED_VALUE"""),0.0)</f>
        <v>0</v>
      </c>
      <c r="AJ14" s="18">
        <f>IFERROR(__xludf.DUMMYFUNCTION("""COMPUTED_VALUE"""),1.0)</f>
        <v>1</v>
      </c>
      <c r="AK14" s="18">
        <f>IFERROR(__xludf.DUMMYFUNCTION("""COMPUTED_VALUE"""),1.0)</f>
        <v>1</v>
      </c>
      <c r="AL14" s="18">
        <f>IFERROR(__xludf.DUMMYFUNCTION("""COMPUTED_VALUE"""),0.0)</f>
        <v>0</v>
      </c>
      <c r="AM14" s="18">
        <f>IFERROR(__xludf.DUMMYFUNCTION("""COMPUTED_VALUE"""),0.0)</f>
        <v>0</v>
      </c>
      <c r="AN14" s="18">
        <f>IFERROR(__xludf.DUMMYFUNCTION("""COMPUTED_VALUE"""),0.0)</f>
        <v>0</v>
      </c>
      <c r="AO14" s="18">
        <f>IFERROR(__xludf.DUMMYFUNCTION("""COMPUTED_VALUE"""),0.0)</f>
        <v>0</v>
      </c>
    </row>
    <row r="15" ht="22.5" customHeight="1">
      <c r="A15" s="6">
        <v>46141.0</v>
      </c>
      <c r="B15" s="7">
        <v>2.0</v>
      </c>
      <c r="C15" s="8" t="s">
        <v>19</v>
      </c>
      <c r="D15" s="9" t="s">
        <v>37</v>
      </c>
      <c r="E15" s="8" t="s">
        <v>38</v>
      </c>
      <c r="F15" s="7">
        <v>7.0</v>
      </c>
      <c r="H15" s="21" t="s">
        <v>24</v>
      </c>
      <c r="I15" s="12">
        <f t="shared" si="1"/>
        <v>6</v>
      </c>
      <c r="J15" s="13">
        <f t="shared" si="2"/>
        <v>1</v>
      </c>
      <c r="K15" s="22">
        <f t="shared" si="3"/>
        <v>0</v>
      </c>
      <c r="L15" s="13">
        <f t="shared" si="4"/>
        <v>5</v>
      </c>
      <c r="M15" s="23">
        <f t="shared" si="5"/>
        <v>0.1666666667</v>
      </c>
      <c r="O15" s="20" t="s">
        <v>24</v>
      </c>
      <c r="P15" s="16" t="s">
        <v>38</v>
      </c>
      <c r="R15" s="17" t="s">
        <v>24</v>
      </c>
      <c r="S15" s="18">
        <f>IFERROR(__xludf.DUMMYFUNCTION("""COMPUTED_VALUE"""),0.0)</f>
        <v>0</v>
      </c>
      <c r="T15" s="18">
        <f>IFERROR(__xludf.DUMMYFUNCTION("""COMPUTED_VALUE"""),1.0)</f>
        <v>1</v>
      </c>
      <c r="U15" s="18">
        <f>IFERROR(__xludf.DUMMYFUNCTION("""COMPUTED_VALUE"""),0.0)</f>
        <v>0</v>
      </c>
      <c r="V15" s="18">
        <f>IFERROR(__xludf.DUMMYFUNCTION("""COMPUTED_VALUE"""),2.0)</f>
        <v>2</v>
      </c>
      <c r="W15" s="18">
        <f>IFERROR(__xludf.DUMMYFUNCTION("""COMPUTED_VALUE"""),0.0)</f>
        <v>0</v>
      </c>
      <c r="X15" s="18">
        <f>IFERROR(__xludf.DUMMYFUNCTION("""COMPUTED_VALUE"""),0.0)</f>
        <v>0</v>
      </c>
      <c r="Y15" s="18">
        <f>IFERROR(__xludf.DUMMYFUNCTION("""COMPUTED_VALUE"""),0.0)</f>
        <v>0</v>
      </c>
      <c r="Z15" s="18">
        <f>IFERROR(__xludf.DUMMYFUNCTION("""COMPUTED_VALUE"""),3.0)</f>
        <v>3</v>
      </c>
      <c r="AA15" s="18">
        <f>IFERROR(__xludf.DUMMYFUNCTION("""COMPUTED_VALUE"""),0.0)</f>
        <v>0</v>
      </c>
      <c r="AB15" s="18">
        <f>IFERROR(__xludf.DUMMYFUNCTION("""COMPUTED_VALUE"""),0.0)</f>
        <v>0</v>
      </c>
      <c r="AC15" s="18">
        <f>IFERROR(__xludf.DUMMYFUNCTION("""COMPUTED_VALUE"""),2.0)</f>
        <v>2</v>
      </c>
      <c r="AD15" s="18">
        <f>IFERROR(__xludf.DUMMYFUNCTION("""COMPUTED_VALUE"""),2.0)</f>
        <v>2</v>
      </c>
      <c r="AE15" s="18">
        <f>IFERROR(__xludf.DUMMYFUNCTION("""COMPUTED_VALUE"""),0.0)</f>
        <v>0</v>
      </c>
      <c r="AF15" s="18" t="str">
        <f>IFERROR(__xludf.DUMMYFUNCTION("""COMPUTED_VALUE"""),"-")</f>
        <v>-</v>
      </c>
      <c r="AG15" s="18">
        <f>IFERROR(__xludf.DUMMYFUNCTION("""COMPUTED_VALUE"""),6.0)</f>
        <v>6</v>
      </c>
      <c r="AH15" s="18">
        <f>IFERROR(__xludf.DUMMYFUNCTION("""COMPUTED_VALUE"""),2.0)</f>
        <v>2</v>
      </c>
      <c r="AI15" s="18">
        <f>IFERROR(__xludf.DUMMYFUNCTION("""COMPUTED_VALUE"""),0.0)</f>
        <v>0</v>
      </c>
      <c r="AJ15" s="18">
        <f>IFERROR(__xludf.DUMMYFUNCTION("""COMPUTED_VALUE"""),4.0)</f>
        <v>4</v>
      </c>
      <c r="AK15" s="18">
        <f>IFERROR(__xludf.DUMMYFUNCTION("""COMPUTED_VALUE"""),2.0)</f>
        <v>2</v>
      </c>
      <c r="AL15" s="18">
        <f>IFERROR(__xludf.DUMMYFUNCTION("""COMPUTED_VALUE"""),0.0)</f>
        <v>0</v>
      </c>
      <c r="AM15" s="18">
        <f>IFERROR(__xludf.DUMMYFUNCTION("""COMPUTED_VALUE"""),0.0)</f>
        <v>0</v>
      </c>
      <c r="AN15" s="18">
        <f>IFERROR(__xludf.DUMMYFUNCTION("""COMPUTED_VALUE"""),0.0)</f>
        <v>0</v>
      </c>
      <c r="AO15" s="18">
        <f>IFERROR(__xludf.DUMMYFUNCTION("""COMPUTED_VALUE"""),0.0)</f>
        <v>0</v>
      </c>
    </row>
    <row r="16" ht="22.5" customHeight="1">
      <c r="A16" s="6">
        <v>46141.0</v>
      </c>
      <c r="B16" s="7">
        <v>2.0</v>
      </c>
      <c r="C16" s="8" t="s">
        <v>23</v>
      </c>
      <c r="D16" s="9" t="s">
        <v>37</v>
      </c>
      <c r="E16" s="8" t="s">
        <v>38</v>
      </c>
      <c r="F16" s="7">
        <v>7.0</v>
      </c>
      <c r="H16" s="21" t="s">
        <v>25</v>
      </c>
      <c r="I16" s="12">
        <f t="shared" si="1"/>
        <v>16</v>
      </c>
      <c r="J16" s="13">
        <f t="shared" si="2"/>
        <v>5</v>
      </c>
      <c r="K16" s="22">
        <f t="shared" si="3"/>
        <v>2</v>
      </c>
      <c r="L16" s="13">
        <f t="shared" si="4"/>
        <v>9</v>
      </c>
      <c r="M16" s="23">
        <f t="shared" si="5"/>
        <v>0.3125</v>
      </c>
      <c r="O16" s="20" t="s">
        <v>25</v>
      </c>
      <c r="P16" s="16" t="s">
        <v>37</v>
      </c>
      <c r="R16" s="17" t="s">
        <v>25</v>
      </c>
      <c r="S16" s="18">
        <f>IFERROR(__xludf.DUMMYFUNCTION("""COMPUTED_VALUE"""),5.0)</f>
        <v>5</v>
      </c>
      <c r="T16" s="18">
        <f>IFERROR(__xludf.DUMMYFUNCTION("""COMPUTED_VALUE"""),1.0)</f>
        <v>1</v>
      </c>
      <c r="U16" s="18">
        <f>IFERROR(__xludf.DUMMYFUNCTION("""COMPUTED_VALUE"""),1.0)</f>
        <v>1</v>
      </c>
      <c r="V16" s="18">
        <f>IFERROR(__xludf.DUMMYFUNCTION("""COMPUTED_VALUE"""),6.0)</f>
        <v>6</v>
      </c>
      <c r="W16" s="18">
        <f>IFERROR(__xludf.DUMMYFUNCTION("""COMPUTED_VALUE"""),0.0)</f>
        <v>0</v>
      </c>
      <c r="X16" s="18">
        <f>IFERROR(__xludf.DUMMYFUNCTION("""COMPUTED_VALUE"""),0.0)</f>
        <v>0</v>
      </c>
      <c r="Y16" s="18">
        <f>IFERROR(__xludf.DUMMYFUNCTION("""COMPUTED_VALUE"""),0.0)</f>
        <v>0</v>
      </c>
      <c r="Z16" s="18">
        <f>IFERROR(__xludf.DUMMYFUNCTION("""COMPUTED_VALUE"""),6.0)</f>
        <v>6</v>
      </c>
      <c r="AA16" s="18">
        <f>IFERROR(__xludf.DUMMYFUNCTION("""COMPUTED_VALUE"""),2.0)</f>
        <v>2</v>
      </c>
      <c r="AB16" s="18">
        <f>IFERROR(__xludf.DUMMYFUNCTION("""COMPUTED_VALUE"""),1.0)</f>
        <v>1</v>
      </c>
      <c r="AC16" s="18">
        <f>IFERROR(__xludf.DUMMYFUNCTION("""COMPUTED_VALUE"""),6.0)</f>
        <v>6</v>
      </c>
      <c r="AD16" s="18">
        <f>IFERROR(__xludf.DUMMYFUNCTION("""COMPUTED_VALUE"""),2.0)</f>
        <v>2</v>
      </c>
      <c r="AE16" s="18">
        <f>IFERROR(__xludf.DUMMYFUNCTION("""COMPUTED_VALUE"""),2.0)</f>
        <v>2</v>
      </c>
      <c r="AF16" s="18">
        <f>IFERROR(__xludf.DUMMYFUNCTION("""COMPUTED_VALUE"""),6.0)</f>
        <v>6</v>
      </c>
      <c r="AG16" s="18" t="str">
        <f>IFERROR(__xludf.DUMMYFUNCTION("""COMPUTED_VALUE"""),"-")</f>
        <v>-</v>
      </c>
      <c r="AH16" s="18">
        <f>IFERROR(__xludf.DUMMYFUNCTION("""COMPUTED_VALUE"""),5.0)</f>
        <v>5</v>
      </c>
      <c r="AI16" s="18">
        <f>IFERROR(__xludf.DUMMYFUNCTION("""COMPUTED_VALUE"""),1.0)</f>
        <v>1</v>
      </c>
      <c r="AJ16" s="18">
        <f>IFERROR(__xludf.DUMMYFUNCTION("""COMPUTED_VALUE"""),9.0)</f>
        <v>9</v>
      </c>
      <c r="AK16" s="18">
        <f>IFERROR(__xludf.DUMMYFUNCTION("""COMPUTED_VALUE"""),6.0)</f>
        <v>6</v>
      </c>
      <c r="AL16" s="18">
        <f>IFERROR(__xludf.DUMMYFUNCTION("""COMPUTED_VALUE"""),0.0)</f>
        <v>0</v>
      </c>
      <c r="AM16" s="18">
        <f>IFERROR(__xludf.DUMMYFUNCTION("""COMPUTED_VALUE"""),2.0)</f>
        <v>2</v>
      </c>
      <c r="AN16" s="18">
        <f>IFERROR(__xludf.DUMMYFUNCTION("""COMPUTED_VALUE"""),0.0)</f>
        <v>0</v>
      </c>
      <c r="AO16" s="18">
        <f>IFERROR(__xludf.DUMMYFUNCTION("""COMPUTED_VALUE"""),1.0)</f>
        <v>1</v>
      </c>
    </row>
    <row r="17" ht="22.5" customHeight="1">
      <c r="A17" s="6">
        <v>46141.0</v>
      </c>
      <c r="B17" s="7">
        <v>2.0</v>
      </c>
      <c r="C17" s="8" t="s">
        <v>26</v>
      </c>
      <c r="D17" s="9" t="s">
        <v>34</v>
      </c>
      <c r="E17" s="8" t="s">
        <v>35</v>
      </c>
      <c r="F17" s="7">
        <v>14.0</v>
      </c>
      <c r="H17" s="21" t="s">
        <v>26</v>
      </c>
      <c r="I17" s="12">
        <f t="shared" si="1"/>
        <v>14</v>
      </c>
      <c r="J17" s="22">
        <f t="shared" si="2"/>
        <v>8</v>
      </c>
      <c r="K17" s="22">
        <f t="shared" si="3"/>
        <v>3</v>
      </c>
      <c r="L17" s="22">
        <f t="shared" si="4"/>
        <v>3</v>
      </c>
      <c r="M17" s="23">
        <f t="shared" si="5"/>
        <v>0.5714285714</v>
      </c>
      <c r="O17" s="20" t="s">
        <v>26</v>
      </c>
      <c r="P17" s="16" t="s">
        <v>34</v>
      </c>
      <c r="R17" s="17" t="s">
        <v>26</v>
      </c>
      <c r="S17" s="18">
        <f>IFERROR(__xludf.DUMMYFUNCTION("""COMPUTED_VALUE"""),5.0)</f>
        <v>5</v>
      </c>
      <c r="T17" s="18">
        <f>IFERROR(__xludf.DUMMYFUNCTION("""COMPUTED_VALUE"""),1.0)</f>
        <v>1</v>
      </c>
      <c r="U17" s="18">
        <f>IFERROR(__xludf.DUMMYFUNCTION("""COMPUTED_VALUE"""),0.0)</f>
        <v>0</v>
      </c>
      <c r="V17" s="18">
        <f>IFERROR(__xludf.DUMMYFUNCTION("""COMPUTED_VALUE"""),3.0)</f>
        <v>3</v>
      </c>
      <c r="W17" s="18">
        <f>IFERROR(__xludf.DUMMYFUNCTION("""COMPUTED_VALUE"""),0.0)</f>
        <v>0</v>
      </c>
      <c r="X17" s="18">
        <f>IFERROR(__xludf.DUMMYFUNCTION("""COMPUTED_VALUE"""),2.0)</f>
        <v>2</v>
      </c>
      <c r="Y17" s="18">
        <f>IFERROR(__xludf.DUMMYFUNCTION("""COMPUTED_VALUE"""),0.0)</f>
        <v>0</v>
      </c>
      <c r="Z17" s="18">
        <f>IFERROR(__xludf.DUMMYFUNCTION("""COMPUTED_VALUE"""),8.0)</f>
        <v>8</v>
      </c>
      <c r="AA17" s="18">
        <f>IFERROR(__xludf.DUMMYFUNCTION("""COMPUTED_VALUE"""),1.0)</f>
        <v>1</v>
      </c>
      <c r="AB17" s="18">
        <f>IFERROR(__xludf.DUMMYFUNCTION("""COMPUTED_VALUE"""),2.0)</f>
        <v>2</v>
      </c>
      <c r="AC17" s="18">
        <f>IFERROR(__xludf.DUMMYFUNCTION("""COMPUTED_VALUE"""),7.0)</f>
        <v>7</v>
      </c>
      <c r="AD17" s="18">
        <f>IFERROR(__xludf.DUMMYFUNCTION("""COMPUTED_VALUE"""),0.0)</f>
        <v>0</v>
      </c>
      <c r="AE17" s="18">
        <f>IFERROR(__xludf.DUMMYFUNCTION("""COMPUTED_VALUE"""),0.0)</f>
        <v>0</v>
      </c>
      <c r="AF17" s="18">
        <f>IFERROR(__xludf.DUMMYFUNCTION("""COMPUTED_VALUE"""),2.0)</f>
        <v>2</v>
      </c>
      <c r="AG17" s="18">
        <f>IFERROR(__xludf.DUMMYFUNCTION("""COMPUTED_VALUE"""),5.0)</f>
        <v>5</v>
      </c>
      <c r="AH17" s="18" t="str">
        <f>IFERROR(__xludf.DUMMYFUNCTION("""COMPUTED_VALUE"""),"-")</f>
        <v>-</v>
      </c>
      <c r="AI17" s="18">
        <f>IFERROR(__xludf.DUMMYFUNCTION("""COMPUTED_VALUE"""),1.0)</f>
        <v>1</v>
      </c>
      <c r="AJ17" s="18">
        <f>IFERROR(__xludf.DUMMYFUNCTION("""COMPUTED_VALUE"""),4.0)</f>
        <v>4</v>
      </c>
      <c r="AK17" s="18">
        <f>IFERROR(__xludf.DUMMYFUNCTION("""COMPUTED_VALUE"""),5.0)</f>
        <v>5</v>
      </c>
      <c r="AL17" s="18">
        <f>IFERROR(__xludf.DUMMYFUNCTION("""COMPUTED_VALUE"""),1.0)</f>
        <v>1</v>
      </c>
      <c r="AM17" s="18">
        <f>IFERROR(__xludf.DUMMYFUNCTION("""COMPUTED_VALUE"""),6.0)</f>
        <v>6</v>
      </c>
      <c r="AN17" s="18">
        <f>IFERROR(__xludf.DUMMYFUNCTION("""COMPUTED_VALUE"""),1.0)</f>
        <v>1</v>
      </c>
      <c r="AO17" s="18">
        <f>IFERROR(__xludf.DUMMYFUNCTION("""COMPUTED_VALUE"""),1.0)</f>
        <v>1</v>
      </c>
    </row>
    <row r="18" ht="22.5" customHeight="1">
      <c r="A18" s="6">
        <v>46141.0</v>
      </c>
      <c r="B18" s="7">
        <v>2.0</v>
      </c>
      <c r="C18" s="8" t="s">
        <v>39</v>
      </c>
      <c r="D18" s="9" t="s">
        <v>34</v>
      </c>
      <c r="E18" s="8" t="s">
        <v>35</v>
      </c>
      <c r="F18" s="7">
        <v>14.0</v>
      </c>
      <c r="H18" s="21" t="s">
        <v>27</v>
      </c>
      <c r="I18" s="12">
        <f t="shared" si="1"/>
        <v>4</v>
      </c>
      <c r="J18" s="22">
        <f t="shared" si="2"/>
        <v>1</v>
      </c>
      <c r="K18" s="22">
        <f t="shared" si="3"/>
        <v>1</v>
      </c>
      <c r="L18" s="22">
        <f t="shared" si="4"/>
        <v>2</v>
      </c>
      <c r="M18" s="23">
        <f t="shared" si="5"/>
        <v>0.25</v>
      </c>
      <c r="O18" s="20" t="s">
        <v>27</v>
      </c>
      <c r="P18" s="16" t="s">
        <v>37</v>
      </c>
      <c r="R18" s="17" t="s">
        <v>27</v>
      </c>
      <c r="S18" s="18">
        <f>IFERROR(__xludf.DUMMYFUNCTION("""COMPUTED_VALUE"""),3.0)</f>
        <v>3</v>
      </c>
      <c r="T18" s="18">
        <f>IFERROR(__xludf.DUMMYFUNCTION("""COMPUTED_VALUE"""),0.0)</f>
        <v>0</v>
      </c>
      <c r="U18" s="18">
        <f>IFERROR(__xludf.DUMMYFUNCTION("""COMPUTED_VALUE"""),0.0)</f>
        <v>0</v>
      </c>
      <c r="V18" s="18">
        <f>IFERROR(__xludf.DUMMYFUNCTION("""COMPUTED_VALUE"""),1.0)</f>
        <v>1</v>
      </c>
      <c r="W18" s="18">
        <f>IFERROR(__xludf.DUMMYFUNCTION("""COMPUTED_VALUE"""),1.0)</f>
        <v>1</v>
      </c>
      <c r="X18" s="18">
        <f>IFERROR(__xludf.DUMMYFUNCTION("""COMPUTED_VALUE"""),0.0)</f>
        <v>0</v>
      </c>
      <c r="Y18" s="18">
        <f>IFERROR(__xludf.DUMMYFUNCTION("""COMPUTED_VALUE"""),0.0)</f>
        <v>0</v>
      </c>
      <c r="Z18" s="18">
        <f>IFERROR(__xludf.DUMMYFUNCTION("""COMPUTED_VALUE"""),1.0)</f>
        <v>1</v>
      </c>
      <c r="AA18" s="18">
        <f>IFERROR(__xludf.DUMMYFUNCTION("""COMPUTED_VALUE"""),0.0)</f>
        <v>0</v>
      </c>
      <c r="AB18" s="18">
        <f>IFERROR(__xludf.DUMMYFUNCTION("""COMPUTED_VALUE"""),0.0)</f>
        <v>0</v>
      </c>
      <c r="AC18" s="18">
        <f>IFERROR(__xludf.DUMMYFUNCTION("""COMPUTED_VALUE"""),2.0)</f>
        <v>2</v>
      </c>
      <c r="AD18" s="18">
        <f>IFERROR(__xludf.DUMMYFUNCTION("""COMPUTED_VALUE"""),0.0)</f>
        <v>0</v>
      </c>
      <c r="AE18" s="18">
        <f>IFERROR(__xludf.DUMMYFUNCTION("""COMPUTED_VALUE"""),0.0)</f>
        <v>0</v>
      </c>
      <c r="AF18" s="18">
        <f>IFERROR(__xludf.DUMMYFUNCTION("""COMPUTED_VALUE"""),0.0)</f>
        <v>0</v>
      </c>
      <c r="AG18" s="18">
        <f>IFERROR(__xludf.DUMMYFUNCTION("""COMPUTED_VALUE"""),1.0)</f>
        <v>1</v>
      </c>
      <c r="AH18" s="18">
        <f>IFERROR(__xludf.DUMMYFUNCTION("""COMPUTED_VALUE"""),1.0)</f>
        <v>1</v>
      </c>
      <c r="AI18" s="18" t="str">
        <f>IFERROR(__xludf.DUMMYFUNCTION("""COMPUTED_VALUE"""),"-")</f>
        <v>-</v>
      </c>
      <c r="AJ18" s="18">
        <f>IFERROR(__xludf.DUMMYFUNCTION("""COMPUTED_VALUE"""),3.0)</f>
        <v>3</v>
      </c>
      <c r="AK18" s="18">
        <f>IFERROR(__xludf.DUMMYFUNCTION("""COMPUTED_VALUE"""),2.0)</f>
        <v>2</v>
      </c>
      <c r="AL18" s="18">
        <f>IFERROR(__xludf.DUMMYFUNCTION("""COMPUTED_VALUE"""),0.0)</f>
        <v>0</v>
      </c>
      <c r="AM18" s="18">
        <f>IFERROR(__xludf.DUMMYFUNCTION("""COMPUTED_VALUE"""),1.0)</f>
        <v>1</v>
      </c>
      <c r="AN18" s="18">
        <f>IFERROR(__xludf.DUMMYFUNCTION("""COMPUTED_VALUE"""),0.0)</f>
        <v>0</v>
      </c>
      <c r="AO18" s="18">
        <f>IFERROR(__xludf.DUMMYFUNCTION("""COMPUTED_VALUE"""),0.0)</f>
        <v>0</v>
      </c>
    </row>
    <row r="19" ht="22.5" customHeight="1">
      <c r="A19" s="6">
        <v>46141.0</v>
      </c>
      <c r="B19" s="7">
        <v>2.0</v>
      </c>
      <c r="C19" s="8" t="s">
        <v>31</v>
      </c>
      <c r="D19" s="9" t="s">
        <v>34</v>
      </c>
      <c r="E19" s="8" t="s">
        <v>35</v>
      </c>
      <c r="F19" s="7">
        <v>14.0</v>
      </c>
      <c r="H19" s="21" t="s">
        <v>28</v>
      </c>
      <c r="I19" s="12">
        <f t="shared" si="1"/>
        <v>17</v>
      </c>
      <c r="J19" s="22">
        <f t="shared" si="2"/>
        <v>8</v>
      </c>
      <c r="K19" s="22">
        <f t="shared" si="3"/>
        <v>3</v>
      </c>
      <c r="L19" s="22">
        <f t="shared" si="4"/>
        <v>6</v>
      </c>
      <c r="M19" s="23">
        <f t="shared" si="5"/>
        <v>0.4705882353</v>
      </c>
      <c r="O19" s="20" t="s">
        <v>28</v>
      </c>
      <c r="P19" s="16" t="s">
        <v>34</v>
      </c>
      <c r="R19" s="17" t="s">
        <v>28</v>
      </c>
      <c r="S19" s="18">
        <f>IFERROR(__xludf.DUMMYFUNCTION("""COMPUTED_VALUE"""),8.0)</f>
        <v>8</v>
      </c>
      <c r="T19" s="18">
        <f>IFERROR(__xludf.DUMMYFUNCTION("""COMPUTED_VALUE"""),0.0)</f>
        <v>0</v>
      </c>
      <c r="U19" s="18">
        <f>IFERROR(__xludf.DUMMYFUNCTION("""COMPUTED_VALUE"""),1.0)</f>
        <v>1</v>
      </c>
      <c r="V19" s="18">
        <f>IFERROR(__xludf.DUMMYFUNCTION("""COMPUTED_VALUE"""),4.0)</f>
        <v>4</v>
      </c>
      <c r="W19" s="18">
        <f>IFERROR(__xludf.DUMMYFUNCTION("""COMPUTED_VALUE"""),0.0)</f>
        <v>0</v>
      </c>
      <c r="X19" s="18">
        <f>IFERROR(__xludf.DUMMYFUNCTION("""COMPUTED_VALUE"""),3.0)</f>
        <v>3</v>
      </c>
      <c r="Y19" s="18">
        <f>IFERROR(__xludf.DUMMYFUNCTION("""COMPUTED_VALUE"""),0.0)</f>
        <v>0</v>
      </c>
      <c r="Z19" s="18">
        <f>IFERROR(__xludf.DUMMYFUNCTION("""COMPUTED_VALUE"""),6.0)</f>
        <v>6</v>
      </c>
      <c r="AA19" s="18">
        <f>IFERROR(__xludf.DUMMYFUNCTION("""COMPUTED_VALUE"""),0.0)</f>
        <v>0</v>
      </c>
      <c r="AB19" s="18">
        <f>IFERROR(__xludf.DUMMYFUNCTION("""COMPUTED_VALUE"""),2.0)</f>
        <v>2</v>
      </c>
      <c r="AC19" s="18">
        <f>IFERROR(__xludf.DUMMYFUNCTION("""COMPUTED_VALUE"""),7.0)</f>
        <v>7</v>
      </c>
      <c r="AD19" s="18">
        <f>IFERROR(__xludf.DUMMYFUNCTION("""COMPUTED_VALUE"""),3.0)</f>
        <v>3</v>
      </c>
      <c r="AE19" s="18">
        <f>IFERROR(__xludf.DUMMYFUNCTION("""COMPUTED_VALUE"""),1.0)</f>
        <v>1</v>
      </c>
      <c r="AF19" s="18">
        <f>IFERROR(__xludf.DUMMYFUNCTION("""COMPUTED_VALUE"""),4.0)</f>
        <v>4</v>
      </c>
      <c r="AG19" s="18">
        <f>IFERROR(__xludf.DUMMYFUNCTION("""COMPUTED_VALUE"""),9.0)</f>
        <v>9</v>
      </c>
      <c r="AH19" s="18">
        <f>IFERROR(__xludf.DUMMYFUNCTION("""COMPUTED_VALUE"""),4.0)</f>
        <v>4</v>
      </c>
      <c r="AI19" s="18">
        <f>IFERROR(__xludf.DUMMYFUNCTION("""COMPUTED_VALUE"""),3.0)</f>
        <v>3</v>
      </c>
      <c r="AJ19" s="18" t="str">
        <f>IFERROR(__xludf.DUMMYFUNCTION("""COMPUTED_VALUE"""),"-")</f>
        <v>-</v>
      </c>
      <c r="AK19" s="18">
        <f>IFERROR(__xludf.DUMMYFUNCTION("""COMPUTED_VALUE"""),9.0)</f>
        <v>9</v>
      </c>
      <c r="AL19" s="18">
        <f>IFERROR(__xludf.DUMMYFUNCTION("""COMPUTED_VALUE"""),0.0)</f>
        <v>0</v>
      </c>
      <c r="AM19" s="18">
        <f>IFERROR(__xludf.DUMMYFUNCTION("""COMPUTED_VALUE"""),4.0)</f>
        <v>4</v>
      </c>
      <c r="AN19" s="18">
        <f>IFERROR(__xludf.DUMMYFUNCTION("""COMPUTED_VALUE"""),0.0)</f>
        <v>0</v>
      </c>
      <c r="AO19" s="18">
        <f>IFERROR(__xludf.DUMMYFUNCTION("""COMPUTED_VALUE"""),0.0)</f>
        <v>0</v>
      </c>
    </row>
    <row r="20" ht="22.5" customHeight="1">
      <c r="A20" s="6">
        <v>46141.0</v>
      </c>
      <c r="B20" s="7">
        <v>2.0</v>
      </c>
      <c r="C20" s="8" t="s">
        <v>40</v>
      </c>
      <c r="D20" s="9" t="s">
        <v>37</v>
      </c>
      <c r="E20" s="8" t="s">
        <v>38</v>
      </c>
      <c r="F20" s="7">
        <v>7.0</v>
      </c>
      <c r="H20" s="21" t="s">
        <v>29</v>
      </c>
      <c r="I20" s="12">
        <f t="shared" si="1"/>
        <v>17</v>
      </c>
      <c r="J20" s="22">
        <f t="shared" si="2"/>
        <v>8</v>
      </c>
      <c r="K20" s="22">
        <f t="shared" si="3"/>
        <v>3</v>
      </c>
      <c r="L20" s="22">
        <f t="shared" si="4"/>
        <v>6</v>
      </c>
      <c r="M20" s="23">
        <f t="shared" si="5"/>
        <v>0.4705882353</v>
      </c>
      <c r="O20" s="20" t="s">
        <v>29</v>
      </c>
      <c r="P20" s="16" t="s">
        <v>37</v>
      </c>
      <c r="R20" s="17" t="s">
        <v>29</v>
      </c>
      <c r="S20" s="18">
        <f>IFERROR(__xludf.DUMMYFUNCTION("""COMPUTED_VALUE"""),11.0)</f>
        <v>11</v>
      </c>
      <c r="T20" s="18">
        <f>IFERROR(__xludf.DUMMYFUNCTION("""COMPUTED_VALUE"""),0.0)</f>
        <v>0</v>
      </c>
      <c r="U20" s="18">
        <f>IFERROR(__xludf.DUMMYFUNCTION("""COMPUTED_VALUE"""),0.0)</f>
        <v>0</v>
      </c>
      <c r="V20" s="18">
        <f>IFERROR(__xludf.DUMMYFUNCTION("""COMPUTED_VALUE"""),1.0)</f>
        <v>1</v>
      </c>
      <c r="W20" s="18">
        <f>IFERROR(__xludf.DUMMYFUNCTION("""COMPUTED_VALUE"""),1.0)</f>
        <v>1</v>
      </c>
      <c r="X20" s="18">
        <f>IFERROR(__xludf.DUMMYFUNCTION("""COMPUTED_VALUE"""),4.0)</f>
        <v>4</v>
      </c>
      <c r="Y20" s="18">
        <f>IFERROR(__xludf.DUMMYFUNCTION("""COMPUTED_VALUE"""),0.0)</f>
        <v>0</v>
      </c>
      <c r="Z20" s="18">
        <f>IFERROR(__xludf.DUMMYFUNCTION("""COMPUTED_VALUE"""),5.0)</f>
        <v>5</v>
      </c>
      <c r="AA20" s="18">
        <f>IFERROR(__xludf.DUMMYFUNCTION("""COMPUTED_VALUE"""),1.0)</f>
        <v>1</v>
      </c>
      <c r="AB20" s="18">
        <f>IFERROR(__xludf.DUMMYFUNCTION("""COMPUTED_VALUE"""),2.0)</f>
        <v>2</v>
      </c>
      <c r="AC20" s="18">
        <f>IFERROR(__xludf.DUMMYFUNCTION("""COMPUTED_VALUE"""),8.0)</f>
        <v>8</v>
      </c>
      <c r="AD20" s="18">
        <f>IFERROR(__xludf.DUMMYFUNCTION("""COMPUTED_VALUE"""),1.0)</f>
        <v>1</v>
      </c>
      <c r="AE20" s="18">
        <f>IFERROR(__xludf.DUMMYFUNCTION("""COMPUTED_VALUE"""),1.0)</f>
        <v>1</v>
      </c>
      <c r="AF20" s="18">
        <f>IFERROR(__xludf.DUMMYFUNCTION("""COMPUTED_VALUE"""),2.0)</f>
        <v>2</v>
      </c>
      <c r="AG20" s="18">
        <f>IFERROR(__xludf.DUMMYFUNCTION("""COMPUTED_VALUE"""),6.0)</f>
        <v>6</v>
      </c>
      <c r="AH20" s="18">
        <f>IFERROR(__xludf.DUMMYFUNCTION("""COMPUTED_VALUE"""),5.0)</f>
        <v>5</v>
      </c>
      <c r="AI20" s="18">
        <f>IFERROR(__xludf.DUMMYFUNCTION("""COMPUTED_VALUE"""),2.0)</f>
        <v>2</v>
      </c>
      <c r="AJ20" s="18">
        <f>IFERROR(__xludf.DUMMYFUNCTION("""COMPUTED_VALUE"""),9.0)</f>
        <v>9</v>
      </c>
      <c r="AK20" s="18" t="str">
        <f>IFERROR(__xludf.DUMMYFUNCTION("""COMPUTED_VALUE"""),"-")</f>
        <v>-</v>
      </c>
      <c r="AL20" s="18">
        <f>IFERROR(__xludf.DUMMYFUNCTION("""COMPUTED_VALUE"""),0.0)</f>
        <v>0</v>
      </c>
      <c r="AM20" s="18">
        <f>IFERROR(__xludf.DUMMYFUNCTION("""COMPUTED_VALUE"""),7.0)</f>
        <v>7</v>
      </c>
      <c r="AN20" s="18">
        <f>IFERROR(__xludf.DUMMYFUNCTION("""COMPUTED_VALUE"""),1.0)</f>
        <v>1</v>
      </c>
      <c r="AO20" s="18">
        <f>IFERROR(__xludf.DUMMYFUNCTION("""COMPUTED_VALUE"""),0.0)</f>
        <v>0</v>
      </c>
    </row>
    <row r="21" ht="22.5" customHeight="1">
      <c r="A21" s="6">
        <v>46141.0</v>
      </c>
      <c r="B21" s="7">
        <v>2.0</v>
      </c>
      <c r="C21" s="8" t="s">
        <v>16</v>
      </c>
      <c r="D21" s="9" t="s">
        <v>34</v>
      </c>
      <c r="E21" s="8" t="s">
        <v>35</v>
      </c>
      <c r="F21" s="7">
        <v>14.0</v>
      </c>
      <c r="H21" s="21" t="s">
        <v>30</v>
      </c>
      <c r="I21" s="12">
        <f t="shared" si="1"/>
        <v>2</v>
      </c>
      <c r="J21" s="22">
        <f t="shared" si="2"/>
        <v>1</v>
      </c>
      <c r="K21" s="22">
        <f t="shared" si="3"/>
        <v>0</v>
      </c>
      <c r="L21" s="22">
        <f t="shared" si="4"/>
        <v>1</v>
      </c>
      <c r="M21" s="23">
        <f t="shared" si="5"/>
        <v>0.5</v>
      </c>
      <c r="O21" s="20" t="s">
        <v>30</v>
      </c>
      <c r="P21" s="16" t="s">
        <v>36</v>
      </c>
      <c r="R21" s="17" t="s">
        <v>30</v>
      </c>
      <c r="S21" s="18">
        <f>IFERROR(__xludf.DUMMYFUNCTION("""COMPUTED_VALUE"""),2.0)</f>
        <v>2</v>
      </c>
      <c r="T21" s="18">
        <f>IFERROR(__xludf.DUMMYFUNCTION("""COMPUTED_VALUE"""),0.0)</f>
        <v>0</v>
      </c>
      <c r="U21" s="18">
        <f>IFERROR(__xludf.DUMMYFUNCTION("""COMPUTED_VALUE"""),0.0)</f>
        <v>0</v>
      </c>
      <c r="V21" s="18">
        <f>IFERROR(__xludf.DUMMYFUNCTION("""COMPUTED_VALUE"""),1.0)</f>
        <v>1</v>
      </c>
      <c r="W21" s="18">
        <f>IFERROR(__xludf.DUMMYFUNCTION("""COMPUTED_VALUE"""),0.0)</f>
        <v>0</v>
      </c>
      <c r="X21" s="18">
        <f>IFERROR(__xludf.DUMMYFUNCTION("""COMPUTED_VALUE"""),0.0)</f>
        <v>0</v>
      </c>
      <c r="Y21" s="18">
        <f>IFERROR(__xludf.DUMMYFUNCTION("""COMPUTED_VALUE"""),0.0)</f>
        <v>0</v>
      </c>
      <c r="Z21" s="18">
        <f>IFERROR(__xludf.DUMMYFUNCTION("""COMPUTED_VALUE"""),1.0)</f>
        <v>1</v>
      </c>
      <c r="AA21" s="18">
        <f>IFERROR(__xludf.DUMMYFUNCTION("""COMPUTED_VALUE"""),0.0)</f>
        <v>0</v>
      </c>
      <c r="AB21" s="18">
        <f>IFERROR(__xludf.DUMMYFUNCTION("""COMPUTED_VALUE"""),0.0)</f>
        <v>0</v>
      </c>
      <c r="AC21" s="18">
        <f>IFERROR(__xludf.DUMMYFUNCTION("""COMPUTED_VALUE"""),1.0)</f>
        <v>1</v>
      </c>
      <c r="AD21" s="18">
        <f>IFERROR(__xludf.DUMMYFUNCTION("""COMPUTED_VALUE"""),0.0)</f>
        <v>0</v>
      </c>
      <c r="AE21" s="18">
        <f>IFERROR(__xludf.DUMMYFUNCTION("""COMPUTED_VALUE"""),0.0)</f>
        <v>0</v>
      </c>
      <c r="AF21" s="18">
        <f>IFERROR(__xludf.DUMMYFUNCTION("""COMPUTED_VALUE"""),0.0)</f>
        <v>0</v>
      </c>
      <c r="AG21" s="18">
        <f>IFERROR(__xludf.DUMMYFUNCTION("""COMPUTED_VALUE"""),0.0)</f>
        <v>0</v>
      </c>
      <c r="AH21" s="18">
        <f>IFERROR(__xludf.DUMMYFUNCTION("""COMPUTED_VALUE"""),1.0)</f>
        <v>1</v>
      </c>
      <c r="AI21" s="18">
        <f>IFERROR(__xludf.DUMMYFUNCTION("""COMPUTED_VALUE"""),0.0)</f>
        <v>0</v>
      </c>
      <c r="AJ21" s="18">
        <f>IFERROR(__xludf.DUMMYFUNCTION("""COMPUTED_VALUE"""),0.0)</f>
        <v>0</v>
      </c>
      <c r="AK21" s="18">
        <f>IFERROR(__xludf.DUMMYFUNCTION("""COMPUTED_VALUE"""),0.0)</f>
        <v>0</v>
      </c>
      <c r="AL21" s="18" t="str">
        <f>IFERROR(__xludf.DUMMYFUNCTION("""COMPUTED_VALUE"""),"-")</f>
        <v>-</v>
      </c>
      <c r="AM21" s="18">
        <f>IFERROR(__xludf.DUMMYFUNCTION("""COMPUTED_VALUE"""),2.0)</f>
        <v>2</v>
      </c>
      <c r="AN21" s="18">
        <f>IFERROR(__xludf.DUMMYFUNCTION("""COMPUTED_VALUE"""),0.0)</f>
        <v>0</v>
      </c>
      <c r="AO21" s="18">
        <f>IFERROR(__xludf.DUMMYFUNCTION("""COMPUTED_VALUE"""),0.0)</f>
        <v>0</v>
      </c>
    </row>
    <row r="22" ht="22.5" customHeight="1">
      <c r="A22" s="6">
        <v>46148.0</v>
      </c>
      <c r="B22" s="19">
        <v>3.0</v>
      </c>
      <c r="C22" s="8" t="s">
        <v>28</v>
      </c>
      <c r="D22" s="9" t="s">
        <v>34</v>
      </c>
      <c r="E22" s="8" t="s">
        <v>38</v>
      </c>
      <c r="F22" s="7">
        <v>8.0</v>
      </c>
      <c r="H22" s="21" t="s">
        <v>31</v>
      </c>
      <c r="I22" s="12">
        <f t="shared" si="1"/>
        <v>13</v>
      </c>
      <c r="J22" s="22">
        <f t="shared" si="2"/>
        <v>6</v>
      </c>
      <c r="K22" s="22">
        <f t="shared" si="3"/>
        <v>3</v>
      </c>
      <c r="L22" s="22">
        <f t="shared" si="4"/>
        <v>4</v>
      </c>
      <c r="M22" s="23">
        <f t="shared" si="5"/>
        <v>0.4615384615</v>
      </c>
      <c r="O22" s="20" t="s">
        <v>31</v>
      </c>
      <c r="P22" s="16" t="s">
        <v>34</v>
      </c>
      <c r="R22" s="17" t="s">
        <v>31</v>
      </c>
      <c r="S22" s="18">
        <f>IFERROR(__xludf.DUMMYFUNCTION("""COMPUTED_VALUE"""),9.0)</f>
        <v>9</v>
      </c>
      <c r="T22" s="18">
        <f>IFERROR(__xludf.DUMMYFUNCTION("""COMPUTED_VALUE"""),0.0)</f>
        <v>0</v>
      </c>
      <c r="U22" s="18">
        <f>IFERROR(__xludf.DUMMYFUNCTION("""COMPUTED_VALUE"""),1.0)</f>
        <v>1</v>
      </c>
      <c r="V22" s="18">
        <f>IFERROR(__xludf.DUMMYFUNCTION("""COMPUTED_VALUE"""),2.0)</f>
        <v>2</v>
      </c>
      <c r="W22" s="18">
        <f>IFERROR(__xludf.DUMMYFUNCTION("""COMPUTED_VALUE"""),1.0)</f>
        <v>1</v>
      </c>
      <c r="X22" s="18">
        <f>IFERROR(__xludf.DUMMYFUNCTION("""COMPUTED_VALUE"""),4.0)</f>
        <v>4</v>
      </c>
      <c r="Y22" s="18">
        <f>IFERROR(__xludf.DUMMYFUNCTION("""COMPUTED_VALUE"""),0.0)</f>
        <v>0</v>
      </c>
      <c r="Z22" s="18">
        <f>IFERROR(__xludf.DUMMYFUNCTION("""COMPUTED_VALUE"""),8.0)</f>
        <v>8</v>
      </c>
      <c r="AA22" s="18">
        <f>IFERROR(__xludf.DUMMYFUNCTION("""COMPUTED_VALUE"""),0.0)</f>
        <v>0</v>
      </c>
      <c r="AB22" s="18">
        <f>IFERROR(__xludf.DUMMYFUNCTION("""COMPUTED_VALUE"""),1.0)</f>
        <v>1</v>
      </c>
      <c r="AC22" s="18">
        <f>IFERROR(__xludf.DUMMYFUNCTION("""COMPUTED_VALUE"""),4.0)</f>
        <v>4</v>
      </c>
      <c r="AD22" s="18">
        <f>IFERROR(__xludf.DUMMYFUNCTION("""COMPUTED_VALUE"""),0.0)</f>
        <v>0</v>
      </c>
      <c r="AE22" s="18">
        <f>IFERROR(__xludf.DUMMYFUNCTION("""COMPUTED_VALUE"""),0.0)</f>
        <v>0</v>
      </c>
      <c r="AF22" s="18">
        <f>IFERROR(__xludf.DUMMYFUNCTION("""COMPUTED_VALUE"""),0.0)</f>
        <v>0</v>
      </c>
      <c r="AG22" s="18">
        <f>IFERROR(__xludf.DUMMYFUNCTION("""COMPUTED_VALUE"""),2.0)</f>
        <v>2</v>
      </c>
      <c r="AH22" s="18">
        <f>IFERROR(__xludf.DUMMYFUNCTION("""COMPUTED_VALUE"""),6.0)</f>
        <v>6</v>
      </c>
      <c r="AI22" s="18">
        <f>IFERROR(__xludf.DUMMYFUNCTION("""COMPUTED_VALUE"""),1.0)</f>
        <v>1</v>
      </c>
      <c r="AJ22" s="18">
        <f>IFERROR(__xludf.DUMMYFUNCTION("""COMPUTED_VALUE"""),4.0)</f>
        <v>4</v>
      </c>
      <c r="AK22" s="18">
        <f>IFERROR(__xludf.DUMMYFUNCTION("""COMPUTED_VALUE"""),7.0)</f>
        <v>7</v>
      </c>
      <c r="AL22" s="18">
        <f>IFERROR(__xludf.DUMMYFUNCTION("""COMPUTED_VALUE"""),2.0)</f>
        <v>2</v>
      </c>
      <c r="AM22" s="18" t="str">
        <f>IFERROR(__xludf.DUMMYFUNCTION("""COMPUTED_VALUE"""),"-")</f>
        <v>-</v>
      </c>
      <c r="AN22" s="18">
        <f>IFERROR(__xludf.DUMMYFUNCTION("""COMPUTED_VALUE"""),0.0)</f>
        <v>0</v>
      </c>
      <c r="AO22" s="18">
        <f>IFERROR(__xludf.DUMMYFUNCTION("""COMPUTED_VALUE"""),0.0)</f>
        <v>0</v>
      </c>
    </row>
    <row r="23" ht="22.5" customHeight="1">
      <c r="A23" s="6">
        <v>46148.0</v>
      </c>
      <c r="B23" s="19">
        <v>3.0</v>
      </c>
      <c r="C23" s="8" t="s">
        <v>14</v>
      </c>
      <c r="D23" s="9" t="s">
        <v>37</v>
      </c>
      <c r="E23" s="8" t="s">
        <v>35</v>
      </c>
      <c r="F23" s="7">
        <v>12.0</v>
      </c>
      <c r="H23" s="21" t="s">
        <v>32</v>
      </c>
      <c r="I23" s="12">
        <f t="shared" si="1"/>
        <v>1</v>
      </c>
      <c r="J23" s="22">
        <f t="shared" si="2"/>
        <v>0</v>
      </c>
      <c r="K23" s="22">
        <f t="shared" si="3"/>
        <v>1</v>
      </c>
      <c r="L23" s="22">
        <f t="shared" si="4"/>
        <v>0</v>
      </c>
      <c r="M23" s="23">
        <f t="shared" si="5"/>
        <v>0</v>
      </c>
      <c r="O23" s="20" t="s">
        <v>32</v>
      </c>
      <c r="P23" s="16" t="s">
        <v>36</v>
      </c>
      <c r="R23" s="17" t="s">
        <v>32</v>
      </c>
      <c r="S23" s="18">
        <f>IFERROR(__xludf.DUMMYFUNCTION("""COMPUTED_VALUE"""),1.0)</f>
        <v>1</v>
      </c>
      <c r="T23" s="18">
        <f>IFERROR(__xludf.DUMMYFUNCTION("""COMPUTED_VALUE"""),0.0)</f>
        <v>0</v>
      </c>
      <c r="U23" s="18">
        <f>IFERROR(__xludf.DUMMYFUNCTION("""COMPUTED_VALUE"""),0.0)</f>
        <v>0</v>
      </c>
      <c r="V23" s="18">
        <f>IFERROR(__xludf.DUMMYFUNCTION("""COMPUTED_VALUE"""),0.0)</f>
        <v>0</v>
      </c>
      <c r="W23" s="18">
        <f>IFERROR(__xludf.DUMMYFUNCTION("""COMPUTED_VALUE"""),0.0)</f>
        <v>0</v>
      </c>
      <c r="X23" s="18">
        <f>IFERROR(__xludf.DUMMYFUNCTION("""COMPUTED_VALUE"""),0.0)</f>
        <v>0</v>
      </c>
      <c r="Y23" s="18">
        <f>IFERROR(__xludf.DUMMYFUNCTION("""COMPUTED_VALUE"""),0.0)</f>
        <v>0</v>
      </c>
      <c r="Z23" s="18">
        <f>IFERROR(__xludf.DUMMYFUNCTION("""COMPUTED_VALUE"""),0.0)</f>
        <v>0</v>
      </c>
      <c r="AA23" s="18">
        <f>IFERROR(__xludf.DUMMYFUNCTION("""COMPUTED_VALUE"""),0.0)</f>
        <v>0</v>
      </c>
      <c r="AB23" s="18">
        <f>IFERROR(__xludf.DUMMYFUNCTION("""COMPUTED_VALUE"""),0.0)</f>
        <v>0</v>
      </c>
      <c r="AC23" s="18">
        <f>IFERROR(__xludf.DUMMYFUNCTION("""COMPUTED_VALUE"""),1.0)</f>
        <v>1</v>
      </c>
      <c r="AD23" s="18">
        <f>IFERROR(__xludf.DUMMYFUNCTION("""COMPUTED_VALUE"""),0.0)</f>
        <v>0</v>
      </c>
      <c r="AE23" s="18">
        <f>IFERROR(__xludf.DUMMYFUNCTION("""COMPUTED_VALUE"""),0.0)</f>
        <v>0</v>
      </c>
      <c r="AF23" s="18">
        <f>IFERROR(__xludf.DUMMYFUNCTION("""COMPUTED_VALUE"""),0.0)</f>
        <v>0</v>
      </c>
      <c r="AG23" s="18">
        <f>IFERROR(__xludf.DUMMYFUNCTION("""COMPUTED_VALUE"""),0.0)</f>
        <v>0</v>
      </c>
      <c r="AH23" s="18">
        <f>IFERROR(__xludf.DUMMYFUNCTION("""COMPUTED_VALUE"""),1.0)</f>
        <v>1</v>
      </c>
      <c r="AI23" s="18">
        <f>IFERROR(__xludf.DUMMYFUNCTION("""COMPUTED_VALUE"""),0.0)</f>
        <v>0</v>
      </c>
      <c r="AJ23" s="18">
        <f>IFERROR(__xludf.DUMMYFUNCTION("""COMPUTED_VALUE"""),0.0)</f>
        <v>0</v>
      </c>
      <c r="AK23" s="18">
        <f>IFERROR(__xludf.DUMMYFUNCTION("""COMPUTED_VALUE"""),1.0)</f>
        <v>1</v>
      </c>
      <c r="AL23" s="18">
        <f>IFERROR(__xludf.DUMMYFUNCTION("""COMPUTED_VALUE"""),0.0)</f>
        <v>0</v>
      </c>
      <c r="AM23" s="18">
        <f>IFERROR(__xludf.DUMMYFUNCTION("""COMPUTED_VALUE"""),0.0)</f>
        <v>0</v>
      </c>
      <c r="AN23" s="18" t="str">
        <f>IFERROR(__xludf.DUMMYFUNCTION("""COMPUTED_VALUE"""),"-")</f>
        <v>-</v>
      </c>
      <c r="AO23" s="18">
        <f>IFERROR(__xludf.DUMMYFUNCTION("""COMPUTED_VALUE"""),0.0)</f>
        <v>0</v>
      </c>
    </row>
    <row r="24" ht="22.5" customHeight="1">
      <c r="A24" s="6">
        <v>46148.0</v>
      </c>
      <c r="B24" s="19">
        <v>3.0</v>
      </c>
      <c r="C24" s="8" t="s">
        <v>25</v>
      </c>
      <c r="D24" s="9" t="s">
        <v>37</v>
      </c>
      <c r="E24" s="8" t="s">
        <v>35</v>
      </c>
      <c r="F24" s="7">
        <v>12.0</v>
      </c>
      <c r="H24" s="21" t="s">
        <v>33</v>
      </c>
      <c r="I24" s="12">
        <f t="shared" si="1"/>
        <v>1</v>
      </c>
      <c r="J24" s="22">
        <f t="shared" si="2"/>
        <v>1</v>
      </c>
      <c r="K24" s="22">
        <f t="shared" si="3"/>
        <v>0</v>
      </c>
      <c r="L24" s="22">
        <f t="shared" si="4"/>
        <v>0</v>
      </c>
      <c r="M24" s="23">
        <f t="shared" si="5"/>
        <v>1</v>
      </c>
      <c r="O24" s="20" t="s">
        <v>33</v>
      </c>
      <c r="P24" s="16" t="s">
        <v>37</v>
      </c>
      <c r="R24" s="17" t="s">
        <v>33</v>
      </c>
      <c r="S24" s="18">
        <f>IFERROR(__xludf.DUMMYFUNCTION("""COMPUTED_VALUE"""),0.0)</f>
        <v>0</v>
      </c>
      <c r="T24" s="18">
        <f>IFERROR(__xludf.DUMMYFUNCTION("""COMPUTED_VALUE"""),0.0)</f>
        <v>0</v>
      </c>
      <c r="U24" s="18">
        <f>IFERROR(__xludf.DUMMYFUNCTION("""COMPUTED_VALUE"""),0.0)</f>
        <v>0</v>
      </c>
      <c r="V24" s="18">
        <f>IFERROR(__xludf.DUMMYFUNCTION("""COMPUTED_VALUE"""),0.0)</f>
        <v>0</v>
      </c>
      <c r="W24" s="18">
        <f>IFERROR(__xludf.DUMMYFUNCTION("""COMPUTED_VALUE"""),0.0)</f>
        <v>0</v>
      </c>
      <c r="X24" s="18">
        <f>IFERROR(__xludf.DUMMYFUNCTION("""COMPUTED_VALUE"""),0.0)</f>
        <v>0</v>
      </c>
      <c r="Y24" s="18">
        <f>IFERROR(__xludf.DUMMYFUNCTION("""COMPUTED_VALUE"""),0.0)</f>
        <v>0</v>
      </c>
      <c r="Z24" s="18">
        <f>IFERROR(__xludf.DUMMYFUNCTION("""COMPUTED_VALUE"""),1.0)</f>
        <v>1</v>
      </c>
      <c r="AA24" s="18">
        <f>IFERROR(__xludf.DUMMYFUNCTION("""COMPUTED_VALUE"""),0.0)</f>
        <v>0</v>
      </c>
      <c r="AB24" s="18">
        <f>IFERROR(__xludf.DUMMYFUNCTION("""COMPUTED_VALUE"""),0.0)</f>
        <v>0</v>
      </c>
      <c r="AC24" s="18">
        <f>IFERROR(__xludf.DUMMYFUNCTION("""COMPUTED_VALUE"""),0.0)</f>
        <v>0</v>
      </c>
      <c r="AD24" s="18">
        <f>IFERROR(__xludf.DUMMYFUNCTION("""COMPUTED_VALUE"""),0.0)</f>
        <v>0</v>
      </c>
      <c r="AE24" s="18">
        <f>IFERROR(__xludf.DUMMYFUNCTION("""COMPUTED_VALUE"""),0.0)</f>
        <v>0</v>
      </c>
      <c r="AF24" s="18">
        <f>IFERROR(__xludf.DUMMYFUNCTION("""COMPUTED_VALUE"""),0.0)</f>
        <v>0</v>
      </c>
      <c r="AG24" s="18">
        <f>IFERROR(__xludf.DUMMYFUNCTION("""COMPUTED_VALUE"""),1.0)</f>
        <v>1</v>
      </c>
      <c r="AH24" s="18">
        <f>IFERROR(__xludf.DUMMYFUNCTION("""COMPUTED_VALUE"""),1.0)</f>
        <v>1</v>
      </c>
      <c r="AI24" s="18">
        <f>IFERROR(__xludf.DUMMYFUNCTION("""COMPUTED_VALUE"""),0.0)</f>
        <v>0</v>
      </c>
      <c r="AJ24" s="18">
        <f>IFERROR(__xludf.DUMMYFUNCTION("""COMPUTED_VALUE"""),0.0)</f>
        <v>0</v>
      </c>
      <c r="AK24" s="18">
        <f>IFERROR(__xludf.DUMMYFUNCTION("""COMPUTED_VALUE"""),0.0)</f>
        <v>0</v>
      </c>
      <c r="AL24" s="18">
        <f>IFERROR(__xludf.DUMMYFUNCTION("""COMPUTED_VALUE"""),0.0)</f>
        <v>0</v>
      </c>
      <c r="AM24" s="18">
        <f>IFERROR(__xludf.DUMMYFUNCTION("""COMPUTED_VALUE"""),0.0)</f>
        <v>0</v>
      </c>
      <c r="AN24" s="18">
        <f>IFERROR(__xludf.DUMMYFUNCTION("""COMPUTED_VALUE"""),0.0)</f>
        <v>0</v>
      </c>
      <c r="AO24" s="18" t="str">
        <f>IFERROR(__xludf.DUMMYFUNCTION("""COMPUTED_VALUE"""),"-")</f>
        <v>-</v>
      </c>
    </row>
    <row r="25" ht="22.5" customHeight="1">
      <c r="A25" s="6">
        <v>46148.0</v>
      </c>
      <c r="B25" s="19">
        <v>3.0</v>
      </c>
      <c r="C25" s="8" t="s">
        <v>29</v>
      </c>
      <c r="D25" s="9" t="s">
        <v>34</v>
      </c>
      <c r="E25" s="8" t="s">
        <v>38</v>
      </c>
      <c r="F25" s="7">
        <v>8.0</v>
      </c>
      <c r="H25" s="21" t="s">
        <v>40</v>
      </c>
      <c r="I25" s="12">
        <f t="shared" si="1"/>
        <v>2</v>
      </c>
      <c r="J25" s="22">
        <f t="shared" si="2"/>
        <v>1</v>
      </c>
      <c r="K25" s="22">
        <f t="shared" si="3"/>
        <v>0</v>
      </c>
      <c r="L25" s="22">
        <f t="shared" si="4"/>
        <v>1</v>
      </c>
      <c r="M25" s="23">
        <f t="shared" si="5"/>
        <v>0.5</v>
      </c>
      <c r="O25" s="20" t="s">
        <v>40</v>
      </c>
      <c r="P25" s="16" t="s">
        <v>37</v>
      </c>
    </row>
    <row r="26" ht="22.5" customHeight="1">
      <c r="A26" s="6">
        <v>46148.0</v>
      </c>
      <c r="B26" s="19">
        <v>3.0</v>
      </c>
      <c r="C26" s="8" t="s">
        <v>21</v>
      </c>
      <c r="D26" s="9" t="s">
        <v>37</v>
      </c>
      <c r="E26" s="8" t="s">
        <v>35</v>
      </c>
      <c r="F26" s="7">
        <v>12.0</v>
      </c>
      <c r="H26" s="24"/>
      <c r="O26" s="24"/>
    </row>
    <row r="27" ht="22.5" customHeight="1">
      <c r="A27" s="6">
        <v>46148.0</v>
      </c>
      <c r="B27" s="19">
        <v>3.0</v>
      </c>
      <c r="C27" s="8" t="s">
        <v>19</v>
      </c>
      <c r="D27" s="9" t="s">
        <v>37</v>
      </c>
      <c r="E27" s="8" t="s">
        <v>35</v>
      </c>
      <c r="F27" s="7">
        <v>12.0</v>
      </c>
    </row>
    <row r="28" ht="22.5" customHeight="1">
      <c r="A28" s="6">
        <v>46148.0</v>
      </c>
      <c r="B28" s="19">
        <v>3.0</v>
      </c>
      <c r="C28" s="8" t="s">
        <v>26</v>
      </c>
      <c r="D28" s="9" t="s">
        <v>37</v>
      </c>
      <c r="E28" s="8" t="s">
        <v>35</v>
      </c>
      <c r="F28" s="7">
        <v>12.0</v>
      </c>
    </row>
    <row r="29" ht="22.5" customHeight="1">
      <c r="A29" s="6">
        <v>46148.0</v>
      </c>
      <c r="B29" s="19">
        <v>3.0</v>
      </c>
      <c r="C29" s="8" t="s">
        <v>39</v>
      </c>
      <c r="D29" s="9" t="s">
        <v>34</v>
      </c>
      <c r="E29" s="8" t="s">
        <v>38</v>
      </c>
      <c r="F29" s="7">
        <v>8.0</v>
      </c>
    </row>
    <row r="30" ht="22.5" customHeight="1">
      <c r="A30" s="6">
        <v>46148.0</v>
      </c>
      <c r="B30" s="19">
        <v>3.0</v>
      </c>
      <c r="C30" s="8" t="s">
        <v>31</v>
      </c>
      <c r="D30" s="9" t="s">
        <v>34</v>
      </c>
      <c r="E30" s="8" t="s">
        <v>38</v>
      </c>
      <c r="F30" s="7">
        <v>8.0</v>
      </c>
    </row>
    <row r="31" ht="22.5" customHeight="1">
      <c r="A31" s="6">
        <v>46148.0</v>
      </c>
      <c r="B31" s="19">
        <v>3.0</v>
      </c>
      <c r="C31" s="8" t="s">
        <v>16</v>
      </c>
      <c r="D31" s="9" t="s">
        <v>34</v>
      </c>
      <c r="E31" s="8" t="s">
        <v>38</v>
      </c>
      <c r="F31" s="7">
        <v>8.0</v>
      </c>
    </row>
    <row r="32" ht="22.5" customHeight="1">
      <c r="A32" s="25">
        <v>46162.0</v>
      </c>
      <c r="B32" s="7">
        <v>4.0</v>
      </c>
      <c r="C32" s="8" t="s">
        <v>14</v>
      </c>
      <c r="D32" s="9" t="s">
        <v>34</v>
      </c>
      <c r="E32" s="8" t="s">
        <v>38</v>
      </c>
      <c r="F32" s="7">
        <v>10.0</v>
      </c>
    </row>
    <row r="33" ht="22.5" customHeight="1">
      <c r="A33" s="25">
        <v>46162.0</v>
      </c>
      <c r="B33" s="7">
        <v>4.0</v>
      </c>
      <c r="C33" s="8" t="s">
        <v>25</v>
      </c>
      <c r="D33" s="9" t="s">
        <v>34</v>
      </c>
      <c r="E33" s="8" t="s">
        <v>38</v>
      </c>
      <c r="F33" s="7">
        <v>10.0</v>
      </c>
    </row>
    <row r="34" ht="22.5" customHeight="1">
      <c r="A34" s="25">
        <v>46162.0</v>
      </c>
      <c r="B34" s="7">
        <v>4.0</v>
      </c>
      <c r="C34" s="8" t="s">
        <v>21</v>
      </c>
      <c r="D34" s="9" t="s">
        <v>34</v>
      </c>
      <c r="E34" s="8" t="s">
        <v>38</v>
      </c>
      <c r="F34" s="7">
        <v>10.0</v>
      </c>
    </row>
    <row r="35" ht="22.5" customHeight="1">
      <c r="A35" s="25">
        <v>46162.0</v>
      </c>
      <c r="B35" s="7">
        <v>4.0</v>
      </c>
      <c r="C35" s="8" t="s">
        <v>26</v>
      </c>
      <c r="D35" s="9" t="s">
        <v>34</v>
      </c>
      <c r="E35" s="8" t="s">
        <v>38</v>
      </c>
      <c r="F35" s="7">
        <v>10.0</v>
      </c>
    </row>
    <row r="36" ht="22.5" customHeight="1">
      <c r="A36" s="25">
        <v>46162.0</v>
      </c>
      <c r="B36" s="7">
        <v>4.0</v>
      </c>
      <c r="C36" s="8" t="s">
        <v>24</v>
      </c>
      <c r="D36" s="9" t="s">
        <v>34</v>
      </c>
      <c r="E36" s="8" t="s">
        <v>38</v>
      </c>
      <c r="F36" s="7">
        <v>10.0</v>
      </c>
    </row>
    <row r="37" ht="22.5" customHeight="1">
      <c r="A37" s="25">
        <v>46162.0</v>
      </c>
      <c r="B37" s="7">
        <v>4.0</v>
      </c>
      <c r="C37" s="8" t="s">
        <v>28</v>
      </c>
      <c r="D37" s="9" t="s">
        <v>37</v>
      </c>
      <c r="E37" s="8" t="s">
        <v>35</v>
      </c>
      <c r="F37" s="7">
        <v>14.0</v>
      </c>
    </row>
    <row r="38" ht="22.5" customHeight="1">
      <c r="A38" s="25">
        <v>46162.0</v>
      </c>
      <c r="B38" s="7">
        <v>4.0</v>
      </c>
      <c r="C38" s="8" t="s">
        <v>31</v>
      </c>
      <c r="D38" s="9" t="s">
        <v>37</v>
      </c>
      <c r="E38" s="8" t="s">
        <v>35</v>
      </c>
      <c r="F38" s="7">
        <v>14.0</v>
      </c>
    </row>
    <row r="39" ht="22.5" customHeight="1">
      <c r="A39" s="25">
        <v>46162.0</v>
      </c>
      <c r="B39" s="7">
        <v>4.0</v>
      </c>
      <c r="C39" s="8" t="s">
        <v>39</v>
      </c>
      <c r="D39" s="9" t="s">
        <v>37</v>
      </c>
      <c r="E39" s="8" t="s">
        <v>35</v>
      </c>
      <c r="F39" s="7">
        <v>14.0</v>
      </c>
    </row>
    <row r="40" ht="22.5" customHeight="1">
      <c r="A40" s="25">
        <v>46162.0</v>
      </c>
      <c r="B40" s="7">
        <v>4.0</v>
      </c>
      <c r="C40" s="8" t="s">
        <v>18</v>
      </c>
      <c r="D40" s="9" t="s">
        <v>37</v>
      </c>
      <c r="E40" s="8" t="s">
        <v>35</v>
      </c>
      <c r="F40" s="7">
        <v>14.0</v>
      </c>
    </row>
    <row r="41" ht="22.5" customHeight="1">
      <c r="A41" s="25">
        <v>46162.0</v>
      </c>
      <c r="B41" s="7">
        <v>4.0</v>
      </c>
      <c r="C41" s="8" t="s">
        <v>29</v>
      </c>
      <c r="D41" s="9" t="s">
        <v>37</v>
      </c>
      <c r="E41" s="8" t="s">
        <v>35</v>
      </c>
      <c r="F41" s="7">
        <v>14.0</v>
      </c>
    </row>
    <row r="42" ht="22.5" customHeight="1">
      <c r="A42" s="25">
        <v>46169.0</v>
      </c>
      <c r="B42" s="7">
        <v>5.0</v>
      </c>
      <c r="C42" s="8" t="s">
        <v>28</v>
      </c>
      <c r="D42" s="9" t="s">
        <v>34</v>
      </c>
      <c r="E42" s="8" t="s">
        <v>35</v>
      </c>
      <c r="F42" s="7">
        <v>14.0</v>
      </c>
    </row>
    <row r="43" ht="22.5" customHeight="1">
      <c r="A43" s="25">
        <v>46169.0</v>
      </c>
      <c r="B43" s="7">
        <v>5.0</v>
      </c>
      <c r="C43" s="8" t="s">
        <v>14</v>
      </c>
      <c r="D43" s="9" t="s">
        <v>34</v>
      </c>
      <c r="E43" s="8" t="s">
        <v>35</v>
      </c>
      <c r="F43" s="7">
        <v>14.0</v>
      </c>
    </row>
    <row r="44" ht="22.5" customHeight="1">
      <c r="A44" s="25">
        <v>46169.0</v>
      </c>
      <c r="B44" s="7">
        <v>5.0</v>
      </c>
      <c r="C44" s="8" t="s">
        <v>25</v>
      </c>
      <c r="D44" s="9" t="s">
        <v>34</v>
      </c>
      <c r="E44" s="8" t="s">
        <v>35</v>
      </c>
      <c r="F44" s="7">
        <v>14.0</v>
      </c>
    </row>
    <row r="45" ht="22.5" customHeight="1">
      <c r="A45" s="25">
        <v>46169.0</v>
      </c>
      <c r="B45" s="7">
        <v>5.0</v>
      </c>
      <c r="C45" s="8" t="s">
        <v>21</v>
      </c>
      <c r="D45" s="9" t="s">
        <v>34</v>
      </c>
      <c r="E45" s="8" t="s">
        <v>35</v>
      </c>
      <c r="F45" s="7">
        <v>14.0</v>
      </c>
    </row>
    <row r="46" ht="22.5" customHeight="1">
      <c r="A46" s="25">
        <v>46169.0</v>
      </c>
      <c r="B46" s="7">
        <v>5.0</v>
      </c>
      <c r="C46" s="8" t="s">
        <v>23</v>
      </c>
      <c r="D46" s="9" t="s">
        <v>34</v>
      </c>
      <c r="E46" s="8" t="s">
        <v>35</v>
      </c>
      <c r="F46" s="7">
        <v>14.0</v>
      </c>
    </row>
    <row r="47" ht="22.5" customHeight="1">
      <c r="A47" s="25">
        <v>46169.0</v>
      </c>
      <c r="B47" s="7">
        <v>5.0</v>
      </c>
      <c r="C47" s="8" t="s">
        <v>29</v>
      </c>
      <c r="D47" s="9" t="s">
        <v>37</v>
      </c>
      <c r="E47" s="8" t="s">
        <v>38</v>
      </c>
      <c r="F47" s="7">
        <v>10.0</v>
      </c>
    </row>
    <row r="48" ht="22.5" customHeight="1">
      <c r="A48" s="25">
        <v>46169.0</v>
      </c>
      <c r="B48" s="7">
        <v>5.0</v>
      </c>
      <c r="C48" s="8" t="s">
        <v>26</v>
      </c>
      <c r="D48" s="9" t="s">
        <v>37</v>
      </c>
      <c r="E48" s="8" t="s">
        <v>38</v>
      </c>
      <c r="F48" s="7">
        <v>10.0</v>
      </c>
    </row>
    <row r="49" ht="22.5" customHeight="1">
      <c r="A49" s="25">
        <v>46169.0</v>
      </c>
      <c r="B49" s="7">
        <v>5.0</v>
      </c>
      <c r="C49" s="8" t="s">
        <v>39</v>
      </c>
      <c r="D49" s="9" t="s">
        <v>37</v>
      </c>
      <c r="E49" s="8" t="s">
        <v>38</v>
      </c>
      <c r="F49" s="7">
        <v>10.0</v>
      </c>
    </row>
    <row r="50" ht="22.5" customHeight="1">
      <c r="A50" s="25">
        <v>46169.0</v>
      </c>
      <c r="B50" s="7">
        <v>5.0</v>
      </c>
      <c r="C50" s="8" t="s">
        <v>31</v>
      </c>
      <c r="D50" s="9" t="s">
        <v>37</v>
      </c>
      <c r="E50" s="8" t="s">
        <v>38</v>
      </c>
      <c r="F50" s="7">
        <v>10.0</v>
      </c>
    </row>
    <row r="51" ht="22.5" customHeight="1">
      <c r="A51" s="25">
        <v>46169.0</v>
      </c>
      <c r="B51" s="7">
        <v>5.0</v>
      </c>
      <c r="C51" s="8" t="s">
        <v>18</v>
      </c>
      <c r="D51" s="9" t="s">
        <v>37</v>
      </c>
      <c r="E51" s="8" t="s">
        <v>38</v>
      </c>
      <c r="F51" s="7">
        <v>10.0</v>
      </c>
    </row>
    <row r="52" ht="22.5" customHeight="1">
      <c r="A52" s="25">
        <v>46176.0</v>
      </c>
      <c r="B52" s="7">
        <v>6.0</v>
      </c>
      <c r="C52" s="8" t="s">
        <v>28</v>
      </c>
      <c r="D52" s="9" t="s">
        <v>34</v>
      </c>
      <c r="E52" s="8" t="s">
        <v>38</v>
      </c>
      <c r="F52" s="7">
        <v>11.0</v>
      </c>
    </row>
    <row r="53" ht="22.5" customHeight="1">
      <c r="A53" s="25">
        <v>46176.0</v>
      </c>
      <c r="B53" s="7">
        <v>6.0</v>
      </c>
      <c r="C53" s="8" t="s">
        <v>25</v>
      </c>
      <c r="D53" s="9" t="s">
        <v>34</v>
      </c>
      <c r="E53" s="8" t="s">
        <v>38</v>
      </c>
      <c r="F53" s="7">
        <v>11.0</v>
      </c>
    </row>
    <row r="54" ht="22.5" customHeight="1">
      <c r="A54" s="25">
        <v>46176.0</v>
      </c>
      <c r="B54" s="7">
        <v>6.0</v>
      </c>
      <c r="C54" s="8" t="s">
        <v>24</v>
      </c>
      <c r="D54" s="9" t="s">
        <v>34</v>
      </c>
      <c r="E54" s="8" t="s">
        <v>38</v>
      </c>
      <c r="F54" s="7">
        <v>11.0</v>
      </c>
    </row>
    <row r="55" ht="22.5" customHeight="1">
      <c r="A55" s="25">
        <v>46176.0</v>
      </c>
      <c r="B55" s="7">
        <v>6.0</v>
      </c>
      <c r="C55" s="8" t="s">
        <v>18</v>
      </c>
      <c r="D55" s="9" t="s">
        <v>34</v>
      </c>
      <c r="E55" s="8" t="s">
        <v>38</v>
      </c>
      <c r="F55" s="7">
        <v>11.0</v>
      </c>
    </row>
    <row r="56" ht="22.5" customHeight="1">
      <c r="A56" s="25">
        <v>46176.0</v>
      </c>
      <c r="B56" s="7">
        <v>6.0</v>
      </c>
      <c r="C56" s="8" t="s">
        <v>22</v>
      </c>
      <c r="D56" s="9" t="s">
        <v>34</v>
      </c>
      <c r="E56" s="8" t="s">
        <v>38</v>
      </c>
      <c r="F56" s="7">
        <v>11.0</v>
      </c>
    </row>
    <row r="57" ht="22.5" customHeight="1">
      <c r="A57" s="25">
        <v>46176.0</v>
      </c>
      <c r="B57" s="7">
        <v>6.0</v>
      </c>
      <c r="C57" s="8" t="s">
        <v>29</v>
      </c>
      <c r="D57" s="9" t="s">
        <v>37</v>
      </c>
      <c r="E57" s="8" t="s">
        <v>35</v>
      </c>
      <c r="F57" s="7">
        <v>14.0</v>
      </c>
    </row>
    <row r="58" ht="22.5" customHeight="1">
      <c r="A58" s="25">
        <v>46176.0</v>
      </c>
      <c r="B58" s="7">
        <v>6.0</v>
      </c>
      <c r="C58" s="8" t="s">
        <v>21</v>
      </c>
      <c r="D58" s="9" t="s">
        <v>37</v>
      </c>
      <c r="E58" s="8" t="s">
        <v>35</v>
      </c>
      <c r="F58" s="7">
        <v>14.0</v>
      </c>
    </row>
    <row r="59" ht="22.5" customHeight="1">
      <c r="A59" s="25">
        <v>46176.0</v>
      </c>
      <c r="B59" s="7">
        <v>6.0</v>
      </c>
      <c r="C59" s="8" t="s">
        <v>39</v>
      </c>
      <c r="D59" s="9" t="s">
        <v>37</v>
      </c>
      <c r="E59" s="8" t="s">
        <v>35</v>
      </c>
      <c r="F59" s="7">
        <v>14.0</v>
      </c>
    </row>
    <row r="60" ht="22.5" customHeight="1">
      <c r="A60" s="25">
        <v>46176.0</v>
      </c>
      <c r="B60" s="7">
        <v>6.0</v>
      </c>
      <c r="C60" s="8" t="s">
        <v>31</v>
      </c>
      <c r="D60" s="9" t="s">
        <v>37</v>
      </c>
      <c r="E60" s="8" t="s">
        <v>35</v>
      </c>
      <c r="F60" s="7">
        <v>14.0</v>
      </c>
    </row>
    <row r="61" ht="22.5" customHeight="1">
      <c r="A61" s="25">
        <v>46176.0</v>
      </c>
      <c r="B61" s="7">
        <v>6.0</v>
      </c>
      <c r="C61" s="8" t="s">
        <v>16</v>
      </c>
      <c r="D61" s="9" t="s">
        <v>37</v>
      </c>
      <c r="E61" s="8" t="s">
        <v>35</v>
      </c>
      <c r="F61" s="7">
        <v>14.0</v>
      </c>
    </row>
    <row r="62" ht="22.5" customHeight="1">
      <c r="A62" s="25">
        <v>46183.0</v>
      </c>
      <c r="B62" s="7">
        <v>7.0</v>
      </c>
      <c r="C62" s="8" t="s">
        <v>28</v>
      </c>
      <c r="D62" s="9" t="s">
        <v>34</v>
      </c>
      <c r="E62" s="8" t="s">
        <v>35</v>
      </c>
      <c r="F62" s="7">
        <v>15.0</v>
      </c>
    </row>
    <row r="63" ht="22.5" customHeight="1">
      <c r="A63" s="25">
        <v>46183.0</v>
      </c>
      <c r="B63" s="7">
        <v>7.0</v>
      </c>
      <c r="C63" s="8" t="s">
        <v>29</v>
      </c>
      <c r="D63" s="9" t="s">
        <v>34</v>
      </c>
      <c r="E63" s="8" t="s">
        <v>35</v>
      </c>
      <c r="F63" s="7">
        <v>15.0</v>
      </c>
    </row>
    <row r="64" ht="22.5" customHeight="1">
      <c r="A64" s="25">
        <v>46183.0</v>
      </c>
      <c r="B64" s="7">
        <v>7.0</v>
      </c>
      <c r="C64" s="8" t="s">
        <v>21</v>
      </c>
      <c r="D64" s="9" t="s">
        <v>34</v>
      </c>
      <c r="E64" s="8" t="s">
        <v>35</v>
      </c>
      <c r="F64" s="7">
        <v>15.0</v>
      </c>
    </row>
    <row r="65" ht="22.5" customHeight="1">
      <c r="A65" s="25">
        <v>46183.0</v>
      </c>
      <c r="B65" s="7">
        <v>7.0</v>
      </c>
      <c r="C65" s="8" t="s">
        <v>22</v>
      </c>
      <c r="D65" s="9" t="s">
        <v>34</v>
      </c>
      <c r="E65" s="8" t="s">
        <v>35</v>
      </c>
      <c r="F65" s="7">
        <v>15.0</v>
      </c>
    </row>
    <row r="66" ht="22.5" customHeight="1">
      <c r="A66" s="25">
        <v>46183.0</v>
      </c>
      <c r="B66" s="7">
        <v>7.0</v>
      </c>
      <c r="C66" s="8" t="s">
        <v>20</v>
      </c>
      <c r="D66" s="9" t="s">
        <v>34</v>
      </c>
      <c r="E66" s="8" t="s">
        <v>35</v>
      </c>
      <c r="F66" s="7">
        <v>15.0</v>
      </c>
    </row>
    <row r="67" ht="22.5" customHeight="1">
      <c r="A67" s="25">
        <v>46183.0</v>
      </c>
      <c r="B67" s="7">
        <v>7.0</v>
      </c>
      <c r="C67" s="8" t="s">
        <v>14</v>
      </c>
      <c r="D67" s="9" t="s">
        <v>37</v>
      </c>
      <c r="E67" s="8" t="s">
        <v>38</v>
      </c>
      <c r="F67" s="7">
        <v>9.0</v>
      </c>
    </row>
    <row r="68" ht="22.5" customHeight="1">
      <c r="A68" s="25">
        <v>46183.0</v>
      </c>
      <c r="B68" s="7">
        <v>7.0</v>
      </c>
      <c r="C68" s="8" t="s">
        <v>25</v>
      </c>
      <c r="D68" s="9" t="s">
        <v>37</v>
      </c>
      <c r="E68" s="8" t="s">
        <v>38</v>
      </c>
      <c r="F68" s="7">
        <v>9.0</v>
      </c>
    </row>
    <row r="69" ht="22.5" customHeight="1">
      <c r="A69" s="25">
        <v>46183.0</v>
      </c>
      <c r="B69" s="7">
        <v>7.0</v>
      </c>
      <c r="C69" s="8" t="s">
        <v>39</v>
      </c>
      <c r="D69" s="9" t="s">
        <v>37</v>
      </c>
      <c r="E69" s="8" t="s">
        <v>38</v>
      </c>
      <c r="F69" s="7">
        <v>9.0</v>
      </c>
    </row>
    <row r="70" ht="22.5" customHeight="1">
      <c r="A70" s="25">
        <v>46183.0</v>
      </c>
      <c r="B70" s="7">
        <v>7.0</v>
      </c>
      <c r="C70" s="8" t="s">
        <v>31</v>
      </c>
      <c r="D70" s="9" t="s">
        <v>37</v>
      </c>
      <c r="E70" s="8" t="s">
        <v>38</v>
      </c>
      <c r="F70" s="7">
        <v>9.0</v>
      </c>
    </row>
    <row r="71" ht="22.5" customHeight="1">
      <c r="A71" s="25">
        <v>46183.0</v>
      </c>
      <c r="B71" s="7">
        <v>7.0</v>
      </c>
      <c r="C71" s="8" t="s">
        <v>18</v>
      </c>
      <c r="D71" s="9" t="s">
        <v>37</v>
      </c>
      <c r="E71" s="8" t="s">
        <v>38</v>
      </c>
      <c r="F71" s="7">
        <v>9.0</v>
      </c>
    </row>
    <row r="72" ht="22.5" customHeight="1">
      <c r="A72" s="25">
        <v>46190.0</v>
      </c>
      <c r="B72" s="7">
        <v>8.0</v>
      </c>
      <c r="C72" s="8" t="s">
        <v>28</v>
      </c>
      <c r="D72" s="9" t="s">
        <v>34</v>
      </c>
      <c r="E72" s="8" t="s">
        <v>38</v>
      </c>
      <c r="F72" s="7">
        <v>11.0</v>
      </c>
    </row>
    <row r="73" ht="22.5" customHeight="1">
      <c r="A73" s="25">
        <v>46190.0</v>
      </c>
      <c r="B73" s="7">
        <v>8.0</v>
      </c>
      <c r="C73" s="8" t="s">
        <v>14</v>
      </c>
      <c r="D73" s="9" t="s">
        <v>34</v>
      </c>
      <c r="E73" s="8" t="s">
        <v>38</v>
      </c>
      <c r="F73" s="7">
        <v>11.0</v>
      </c>
    </row>
    <row r="74" ht="22.5" customHeight="1">
      <c r="A74" s="25">
        <v>46190.0</v>
      </c>
      <c r="B74" s="7">
        <v>8.0</v>
      </c>
      <c r="C74" s="8" t="s">
        <v>25</v>
      </c>
      <c r="D74" s="9" t="s">
        <v>34</v>
      </c>
      <c r="E74" s="8" t="s">
        <v>38</v>
      </c>
      <c r="F74" s="7">
        <v>11.0</v>
      </c>
    </row>
    <row r="75" ht="22.5" customHeight="1">
      <c r="A75" s="25">
        <v>46190.0</v>
      </c>
      <c r="B75" s="7">
        <v>8.0</v>
      </c>
      <c r="C75" s="8" t="s">
        <v>24</v>
      </c>
      <c r="D75" s="9" t="s">
        <v>34</v>
      </c>
      <c r="E75" s="8" t="s">
        <v>38</v>
      </c>
      <c r="F75" s="7">
        <v>11.0</v>
      </c>
    </row>
    <row r="76" ht="22.5" customHeight="1">
      <c r="A76" s="25">
        <v>46190.0</v>
      </c>
      <c r="B76" s="7">
        <v>8.0</v>
      </c>
      <c r="C76" s="8" t="s">
        <v>22</v>
      </c>
      <c r="D76" s="9" t="s">
        <v>34</v>
      </c>
      <c r="E76" s="8" t="s">
        <v>38</v>
      </c>
      <c r="F76" s="7">
        <v>11.0</v>
      </c>
    </row>
    <row r="77" ht="22.5" customHeight="1">
      <c r="A77" s="25">
        <v>46190.0</v>
      </c>
      <c r="B77" s="7">
        <v>8.0</v>
      </c>
      <c r="C77" s="8" t="s">
        <v>29</v>
      </c>
      <c r="D77" s="9" t="s">
        <v>37</v>
      </c>
      <c r="E77" s="8" t="s">
        <v>35</v>
      </c>
      <c r="F77" s="7">
        <v>18.0</v>
      </c>
    </row>
    <row r="78" ht="22.5" customHeight="1">
      <c r="A78" s="25">
        <v>46190.0</v>
      </c>
      <c r="B78" s="7">
        <v>8.0</v>
      </c>
      <c r="C78" s="8" t="s">
        <v>21</v>
      </c>
      <c r="D78" s="9" t="s">
        <v>37</v>
      </c>
      <c r="E78" s="8" t="s">
        <v>35</v>
      </c>
      <c r="F78" s="7">
        <v>18.0</v>
      </c>
    </row>
    <row r="79" ht="22.5" customHeight="1">
      <c r="A79" s="25">
        <v>46190.0</v>
      </c>
      <c r="B79" s="7">
        <v>8.0</v>
      </c>
      <c r="C79" s="8" t="s">
        <v>26</v>
      </c>
      <c r="D79" s="9" t="s">
        <v>37</v>
      </c>
      <c r="E79" s="8" t="s">
        <v>35</v>
      </c>
      <c r="F79" s="7">
        <v>18.0</v>
      </c>
    </row>
    <row r="80" ht="22.5" customHeight="1">
      <c r="A80" s="25">
        <v>46190.0</v>
      </c>
      <c r="B80" s="7">
        <v>8.0</v>
      </c>
      <c r="C80" s="8" t="s">
        <v>31</v>
      </c>
      <c r="D80" s="9" t="s">
        <v>37</v>
      </c>
      <c r="E80" s="8" t="s">
        <v>35</v>
      </c>
      <c r="F80" s="7">
        <v>18.0</v>
      </c>
    </row>
    <row r="81" ht="22.5" customHeight="1">
      <c r="A81" s="25">
        <v>46190.0</v>
      </c>
      <c r="B81" s="7">
        <v>8.0</v>
      </c>
      <c r="C81" s="8" t="s">
        <v>18</v>
      </c>
      <c r="D81" s="9" t="s">
        <v>37</v>
      </c>
      <c r="E81" s="8" t="s">
        <v>35</v>
      </c>
      <c r="F81" s="7">
        <v>18.0</v>
      </c>
    </row>
    <row r="82" ht="22.5" customHeight="1">
      <c r="A82" s="25">
        <v>46197.0</v>
      </c>
      <c r="B82" s="7">
        <v>9.0</v>
      </c>
      <c r="C82" s="8" t="s">
        <v>28</v>
      </c>
      <c r="D82" s="9" t="s">
        <v>34</v>
      </c>
      <c r="E82" s="8" t="s">
        <v>41</v>
      </c>
      <c r="F82" s="7">
        <v>14.0</v>
      </c>
    </row>
    <row r="83" ht="22.5" customHeight="1">
      <c r="A83" s="25">
        <v>46197.0</v>
      </c>
      <c r="B83" s="7">
        <v>9.0</v>
      </c>
      <c r="C83" s="8" t="s">
        <v>29</v>
      </c>
      <c r="D83" s="9" t="s">
        <v>34</v>
      </c>
      <c r="E83" s="8" t="s">
        <v>41</v>
      </c>
      <c r="F83" s="7">
        <v>14.0</v>
      </c>
    </row>
    <row r="84" ht="22.5" customHeight="1">
      <c r="A84" s="25">
        <v>46197.0</v>
      </c>
      <c r="B84" s="7">
        <v>9.0</v>
      </c>
      <c r="C84" s="8" t="s">
        <v>25</v>
      </c>
      <c r="D84" s="9" t="s">
        <v>34</v>
      </c>
      <c r="E84" s="8" t="s">
        <v>41</v>
      </c>
      <c r="F84" s="7">
        <v>14.0</v>
      </c>
    </row>
    <row r="85" ht="22.5" customHeight="1">
      <c r="A85" s="25">
        <v>46197.0</v>
      </c>
      <c r="B85" s="7">
        <v>9.0</v>
      </c>
      <c r="C85" s="8" t="s">
        <v>14</v>
      </c>
      <c r="D85" s="9" t="s">
        <v>34</v>
      </c>
      <c r="E85" s="8" t="s">
        <v>41</v>
      </c>
      <c r="F85" s="7">
        <v>14.0</v>
      </c>
    </row>
    <row r="86" ht="22.5" customHeight="1">
      <c r="A86" s="25">
        <v>46197.0</v>
      </c>
      <c r="B86" s="7">
        <v>9.0</v>
      </c>
      <c r="C86" s="8" t="s">
        <v>39</v>
      </c>
      <c r="D86" s="9" t="s">
        <v>34</v>
      </c>
      <c r="E86" s="8" t="s">
        <v>41</v>
      </c>
      <c r="F86" s="7">
        <v>14.0</v>
      </c>
    </row>
    <row r="87" ht="22.5" customHeight="1">
      <c r="A87" s="25">
        <v>46197.0</v>
      </c>
      <c r="B87" s="7">
        <v>9.0</v>
      </c>
      <c r="C87" s="8" t="s">
        <v>26</v>
      </c>
      <c r="D87" s="9" t="s">
        <v>37</v>
      </c>
      <c r="E87" s="8" t="s">
        <v>41</v>
      </c>
      <c r="F87" s="7">
        <v>14.0</v>
      </c>
    </row>
    <row r="88" ht="22.5" customHeight="1">
      <c r="A88" s="25">
        <v>46197.0</v>
      </c>
      <c r="B88" s="7">
        <v>9.0</v>
      </c>
      <c r="C88" s="8" t="s">
        <v>31</v>
      </c>
      <c r="D88" s="9" t="s">
        <v>37</v>
      </c>
      <c r="E88" s="8" t="s">
        <v>41</v>
      </c>
      <c r="F88" s="7">
        <v>14.0</v>
      </c>
    </row>
    <row r="89" ht="22.5" customHeight="1">
      <c r="A89" s="25">
        <v>46197.0</v>
      </c>
      <c r="B89" s="7">
        <v>9.0</v>
      </c>
      <c r="C89" s="8" t="s">
        <v>21</v>
      </c>
      <c r="D89" s="9" t="s">
        <v>37</v>
      </c>
      <c r="E89" s="8" t="s">
        <v>41</v>
      </c>
      <c r="F89" s="7">
        <v>14.0</v>
      </c>
    </row>
    <row r="90" ht="22.5" customHeight="1">
      <c r="A90" s="25">
        <v>46197.0</v>
      </c>
      <c r="B90" s="7">
        <v>9.0</v>
      </c>
      <c r="C90" s="8" t="s">
        <v>18</v>
      </c>
      <c r="D90" s="9" t="s">
        <v>37</v>
      </c>
      <c r="E90" s="8" t="s">
        <v>41</v>
      </c>
      <c r="F90" s="7">
        <v>14.0</v>
      </c>
    </row>
    <row r="91" ht="22.5" customHeight="1">
      <c r="A91" s="25">
        <v>46197.0</v>
      </c>
      <c r="B91" s="7">
        <v>9.0</v>
      </c>
      <c r="C91" s="8" t="s">
        <v>20</v>
      </c>
      <c r="D91" s="9" t="s">
        <v>37</v>
      </c>
      <c r="E91" s="8" t="s">
        <v>41</v>
      </c>
      <c r="F91" s="7">
        <v>14.0</v>
      </c>
    </row>
    <row r="92" ht="22.5" customHeight="1">
      <c r="A92" s="25">
        <v>46204.0</v>
      </c>
      <c r="B92" s="7">
        <v>10.0</v>
      </c>
      <c r="C92" s="8" t="s">
        <v>28</v>
      </c>
      <c r="D92" s="9" t="s">
        <v>34</v>
      </c>
      <c r="E92" s="8" t="s">
        <v>35</v>
      </c>
      <c r="F92" s="7">
        <v>14.0</v>
      </c>
    </row>
    <row r="93" ht="22.5" customHeight="1">
      <c r="A93" s="25">
        <v>46204.0</v>
      </c>
      <c r="B93" s="7">
        <v>10.0</v>
      </c>
      <c r="C93" s="8" t="s">
        <v>14</v>
      </c>
      <c r="D93" s="9" t="s">
        <v>34</v>
      </c>
      <c r="E93" s="8" t="s">
        <v>35</v>
      </c>
      <c r="F93" s="7">
        <v>14.0</v>
      </c>
    </row>
    <row r="94" ht="22.5" customHeight="1">
      <c r="A94" s="25">
        <v>46204.0</v>
      </c>
      <c r="B94" s="7">
        <v>10.0</v>
      </c>
      <c r="C94" s="8" t="s">
        <v>26</v>
      </c>
      <c r="D94" s="9" t="s">
        <v>34</v>
      </c>
      <c r="E94" s="8" t="s">
        <v>35</v>
      </c>
      <c r="F94" s="7">
        <v>14.0</v>
      </c>
    </row>
    <row r="95" ht="22.5" customHeight="1">
      <c r="A95" s="25">
        <v>46204.0</v>
      </c>
      <c r="B95" s="7">
        <v>10.0</v>
      </c>
      <c r="C95" s="8" t="s">
        <v>18</v>
      </c>
      <c r="D95" s="9" t="s">
        <v>34</v>
      </c>
      <c r="E95" s="8" t="s">
        <v>35</v>
      </c>
      <c r="F95" s="7">
        <v>14.0</v>
      </c>
    </row>
    <row r="96" ht="22.5" customHeight="1">
      <c r="A96" s="25">
        <v>46204.0</v>
      </c>
      <c r="B96" s="7">
        <v>10.0</v>
      </c>
      <c r="C96" s="8" t="s">
        <v>27</v>
      </c>
      <c r="D96" s="9" t="s">
        <v>34</v>
      </c>
      <c r="E96" s="8" t="s">
        <v>35</v>
      </c>
      <c r="F96" s="7">
        <v>14.0</v>
      </c>
    </row>
    <row r="97" ht="22.5" customHeight="1">
      <c r="A97" s="25">
        <v>46204.0</v>
      </c>
      <c r="B97" s="7">
        <v>10.0</v>
      </c>
      <c r="C97" s="8" t="s">
        <v>25</v>
      </c>
      <c r="D97" s="9" t="s">
        <v>37</v>
      </c>
      <c r="E97" s="8" t="s">
        <v>38</v>
      </c>
      <c r="F97" s="7">
        <v>8.0</v>
      </c>
    </row>
    <row r="98" ht="22.5" customHeight="1">
      <c r="A98" s="25">
        <v>46204.0</v>
      </c>
      <c r="B98" s="7">
        <v>10.0</v>
      </c>
      <c r="C98" s="8" t="s">
        <v>29</v>
      </c>
      <c r="D98" s="9" t="s">
        <v>37</v>
      </c>
      <c r="E98" s="8" t="s">
        <v>38</v>
      </c>
      <c r="F98" s="7">
        <v>8.0</v>
      </c>
    </row>
    <row r="99" ht="22.5" customHeight="1">
      <c r="A99" s="25">
        <v>46204.0</v>
      </c>
      <c r="B99" s="7">
        <v>10.0</v>
      </c>
      <c r="C99" s="8" t="s">
        <v>21</v>
      </c>
      <c r="D99" s="9" t="s">
        <v>37</v>
      </c>
      <c r="E99" s="8" t="s">
        <v>38</v>
      </c>
      <c r="F99" s="7">
        <v>8.0</v>
      </c>
    </row>
    <row r="100" ht="22.5" customHeight="1">
      <c r="A100" s="25">
        <v>46204.0</v>
      </c>
      <c r="B100" s="7">
        <v>10.0</v>
      </c>
      <c r="C100" s="8" t="s">
        <v>39</v>
      </c>
      <c r="D100" s="9" t="s">
        <v>37</v>
      </c>
      <c r="E100" s="8" t="s">
        <v>38</v>
      </c>
      <c r="F100" s="7">
        <v>8.0</v>
      </c>
    </row>
    <row r="101" ht="22.5" customHeight="1">
      <c r="A101" s="25">
        <v>46204.0</v>
      </c>
      <c r="B101" s="7">
        <v>10.0</v>
      </c>
      <c r="C101" s="8" t="s">
        <v>20</v>
      </c>
      <c r="D101" s="9" t="s">
        <v>37</v>
      </c>
      <c r="E101" s="8" t="s">
        <v>38</v>
      </c>
      <c r="F101" s="7">
        <v>8.0</v>
      </c>
    </row>
    <row r="102" ht="22.5" customHeight="1">
      <c r="A102" s="25">
        <v>46211.0</v>
      </c>
      <c r="B102" s="7">
        <v>11.0</v>
      </c>
      <c r="C102" s="8" t="s">
        <v>30</v>
      </c>
      <c r="D102" s="9" t="s">
        <v>34</v>
      </c>
      <c r="E102" s="8" t="s">
        <v>35</v>
      </c>
      <c r="F102" s="7">
        <v>11.0</v>
      </c>
    </row>
    <row r="103" ht="22.5" customHeight="1">
      <c r="A103" s="25">
        <v>46211.0</v>
      </c>
      <c r="B103" s="7">
        <v>11.0</v>
      </c>
      <c r="C103" s="8" t="s">
        <v>31</v>
      </c>
      <c r="D103" s="9" t="s">
        <v>34</v>
      </c>
      <c r="E103" s="8" t="s">
        <v>35</v>
      </c>
      <c r="F103" s="7">
        <v>11.0</v>
      </c>
    </row>
    <row r="104" ht="22.5" customHeight="1">
      <c r="A104" s="25">
        <v>46211.0</v>
      </c>
      <c r="B104" s="7">
        <v>11.0</v>
      </c>
      <c r="C104" s="8" t="s">
        <v>26</v>
      </c>
      <c r="D104" s="9" t="s">
        <v>34</v>
      </c>
      <c r="E104" s="8" t="s">
        <v>35</v>
      </c>
      <c r="F104" s="7">
        <v>11.0</v>
      </c>
    </row>
    <row r="105" ht="22.5" customHeight="1">
      <c r="A105" s="25">
        <v>46211.0</v>
      </c>
      <c r="B105" s="7">
        <v>11.0</v>
      </c>
      <c r="C105" s="8" t="s">
        <v>39</v>
      </c>
      <c r="D105" s="9" t="s">
        <v>34</v>
      </c>
      <c r="E105" s="8" t="s">
        <v>35</v>
      </c>
      <c r="F105" s="7">
        <v>11.0</v>
      </c>
    </row>
    <row r="106" ht="22.5" customHeight="1">
      <c r="A106" s="25">
        <v>46211.0</v>
      </c>
      <c r="B106" s="7">
        <v>11.0</v>
      </c>
      <c r="C106" s="8" t="s">
        <v>21</v>
      </c>
      <c r="D106" s="9" t="s">
        <v>34</v>
      </c>
      <c r="E106" s="8" t="s">
        <v>35</v>
      </c>
      <c r="F106" s="7">
        <v>11.0</v>
      </c>
    </row>
    <row r="107" ht="22.5" customHeight="1">
      <c r="A107" s="25">
        <v>46211.0</v>
      </c>
      <c r="B107" s="7">
        <v>11.0</v>
      </c>
      <c r="C107" s="8" t="s">
        <v>28</v>
      </c>
      <c r="D107" s="9" t="s">
        <v>37</v>
      </c>
      <c r="E107" s="8" t="s">
        <v>38</v>
      </c>
      <c r="F107" s="7">
        <v>8.0</v>
      </c>
    </row>
    <row r="108" ht="22.5" customHeight="1">
      <c r="A108" s="25">
        <v>46211.0</v>
      </c>
      <c r="B108" s="7">
        <v>11.0</v>
      </c>
      <c r="C108" s="8" t="s">
        <v>29</v>
      </c>
      <c r="D108" s="9" t="s">
        <v>37</v>
      </c>
      <c r="E108" s="8" t="s">
        <v>38</v>
      </c>
      <c r="F108" s="7">
        <v>8.0</v>
      </c>
    </row>
    <row r="109" ht="22.5" customHeight="1">
      <c r="A109" s="25">
        <v>46211.0</v>
      </c>
      <c r="B109" s="7">
        <v>11.0</v>
      </c>
      <c r="C109" s="8" t="s">
        <v>25</v>
      </c>
      <c r="D109" s="9" t="s">
        <v>37</v>
      </c>
      <c r="E109" s="8" t="s">
        <v>38</v>
      </c>
      <c r="F109" s="7">
        <v>8.0</v>
      </c>
    </row>
    <row r="110" ht="22.5" customHeight="1">
      <c r="A110" s="25">
        <v>46211.0</v>
      </c>
      <c r="B110" s="7">
        <v>11.0</v>
      </c>
      <c r="C110" s="8" t="s">
        <v>18</v>
      </c>
      <c r="D110" s="9" t="s">
        <v>37</v>
      </c>
      <c r="E110" s="8" t="s">
        <v>38</v>
      </c>
      <c r="F110" s="7">
        <v>8.0</v>
      </c>
    </row>
    <row r="111" ht="22.5" customHeight="1">
      <c r="A111" s="25">
        <v>46211.0</v>
      </c>
      <c r="B111" s="7">
        <v>11.0</v>
      </c>
      <c r="C111" s="8" t="s">
        <v>24</v>
      </c>
      <c r="D111" s="9" t="s">
        <v>37</v>
      </c>
      <c r="E111" s="8" t="s">
        <v>38</v>
      </c>
      <c r="F111" s="7">
        <v>8.0</v>
      </c>
    </row>
    <row r="112" ht="22.5" customHeight="1">
      <c r="A112" s="25">
        <v>46218.0</v>
      </c>
      <c r="B112" s="7">
        <v>12.0</v>
      </c>
      <c r="C112" s="8" t="s">
        <v>28</v>
      </c>
      <c r="D112" s="9" t="s">
        <v>34</v>
      </c>
      <c r="E112" s="8" t="s">
        <v>38</v>
      </c>
      <c r="F112" s="7">
        <v>6.0</v>
      </c>
    </row>
    <row r="113" ht="22.5" customHeight="1">
      <c r="A113" s="25">
        <v>46218.0</v>
      </c>
      <c r="B113" s="7">
        <v>12.0</v>
      </c>
      <c r="C113" s="8" t="s">
        <v>25</v>
      </c>
      <c r="D113" s="9" t="s">
        <v>34</v>
      </c>
      <c r="E113" s="8" t="s">
        <v>38</v>
      </c>
      <c r="F113" s="7">
        <v>6.0</v>
      </c>
    </row>
    <row r="114" ht="22.5" customHeight="1">
      <c r="A114" s="25">
        <v>46218.0</v>
      </c>
      <c r="B114" s="7">
        <v>12.0</v>
      </c>
      <c r="C114" s="8" t="s">
        <v>21</v>
      </c>
      <c r="D114" s="9" t="s">
        <v>34</v>
      </c>
      <c r="E114" s="8" t="s">
        <v>38</v>
      </c>
      <c r="F114" s="7">
        <v>6.0</v>
      </c>
    </row>
    <row r="115" ht="22.5" customHeight="1">
      <c r="A115" s="25">
        <v>46218.0</v>
      </c>
      <c r="B115" s="7">
        <v>12.0</v>
      </c>
      <c r="C115" s="8" t="s">
        <v>39</v>
      </c>
      <c r="D115" s="9" t="s">
        <v>34</v>
      </c>
      <c r="E115" s="8" t="s">
        <v>38</v>
      </c>
      <c r="F115" s="7">
        <v>6.0</v>
      </c>
    </row>
    <row r="116" ht="22.5" customHeight="1">
      <c r="A116" s="25">
        <v>46218.0</v>
      </c>
      <c r="B116" s="7">
        <v>12.0</v>
      </c>
      <c r="C116" s="8" t="s">
        <v>27</v>
      </c>
      <c r="D116" s="9" t="s">
        <v>34</v>
      </c>
      <c r="E116" s="8" t="s">
        <v>38</v>
      </c>
      <c r="F116" s="7">
        <v>6.0</v>
      </c>
    </row>
    <row r="117" ht="22.5" customHeight="1">
      <c r="A117" s="25">
        <v>46218.0</v>
      </c>
      <c r="B117" s="7">
        <v>12.0</v>
      </c>
      <c r="C117" s="8" t="s">
        <v>29</v>
      </c>
      <c r="D117" s="9" t="s">
        <v>37</v>
      </c>
      <c r="E117" s="8" t="s">
        <v>35</v>
      </c>
      <c r="F117" s="7">
        <v>7.0</v>
      </c>
    </row>
    <row r="118" ht="22.5" customHeight="1">
      <c r="A118" s="25">
        <v>46218.0</v>
      </c>
      <c r="B118" s="7">
        <v>12.0</v>
      </c>
      <c r="C118" s="8" t="s">
        <v>26</v>
      </c>
      <c r="D118" s="9" t="s">
        <v>37</v>
      </c>
      <c r="E118" s="8" t="s">
        <v>35</v>
      </c>
      <c r="F118" s="7">
        <v>7.0</v>
      </c>
    </row>
    <row r="119" ht="22.5" customHeight="1">
      <c r="A119" s="25">
        <v>46218.0</v>
      </c>
      <c r="B119" s="7">
        <v>12.0</v>
      </c>
      <c r="C119" s="8" t="s">
        <v>31</v>
      </c>
      <c r="D119" s="9" t="s">
        <v>37</v>
      </c>
      <c r="E119" s="8" t="s">
        <v>35</v>
      </c>
      <c r="F119" s="7">
        <v>7.0</v>
      </c>
    </row>
    <row r="120" ht="22.5" customHeight="1">
      <c r="A120" s="25">
        <v>46218.0</v>
      </c>
      <c r="B120" s="7">
        <v>12.0</v>
      </c>
      <c r="C120" s="8" t="s">
        <v>16</v>
      </c>
      <c r="D120" s="9" t="s">
        <v>37</v>
      </c>
      <c r="E120" s="8" t="s">
        <v>35</v>
      </c>
      <c r="F120" s="7">
        <v>7.0</v>
      </c>
    </row>
    <row r="121" ht="22.5" customHeight="1">
      <c r="A121" s="25">
        <v>46218.0</v>
      </c>
      <c r="B121" s="7">
        <v>12.0</v>
      </c>
      <c r="C121" s="8" t="s">
        <v>18</v>
      </c>
      <c r="D121" s="9" t="s">
        <v>37</v>
      </c>
      <c r="E121" s="8" t="s">
        <v>35</v>
      </c>
      <c r="F121" s="7">
        <v>7.0</v>
      </c>
    </row>
    <row r="122" ht="22.5" customHeight="1">
      <c r="A122" s="25">
        <v>46225.0</v>
      </c>
      <c r="B122" s="7">
        <v>13.0</v>
      </c>
      <c r="C122" s="8" t="s">
        <v>28</v>
      </c>
      <c r="D122" s="9" t="s">
        <v>34</v>
      </c>
      <c r="E122" s="8" t="s">
        <v>35</v>
      </c>
      <c r="F122" s="7">
        <v>10.0</v>
      </c>
    </row>
    <row r="123" ht="22.5" customHeight="1">
      <c r="A123" s="25">
        <v>46225.0</v>
      </c>
      <c r="B123" s="7">
        <v>13.0</v>
      </c>
      <c r="C123" s="8" t="s">
        <v>25</v>
      </c>
      <c r="D123" s="9" t="s">
        <v>34</v>
      </c>
      <c r="E123" s="8" t="s">
        <v>35</v>
      </c>
      <c r="F123" s="7">
        <v>10.0</v>
      </c>
    </row>
    <row r="124" ht="22.5" customHeight="1">
      <c r="A124" s="25">
        <v>46225.0</v>
      </c>
      <c r="B124" s="7">
        <v>13.0</v>
      </c>
      <c r="C124" s="8" t="s">
        <v>29</v>
      </c>
      <c r="D124" s="9" t="s">
        <v>34</v>
      </c>
      <c r="E124" s="8" t="s">
        <v>35</v>
      </c>
      <c r="F124" s="7">
        <v>10.0</v>
      </c>
    </row>
    <row r="125" ht="22.5" customHeight="1">
      <c r="A125" s="25">
        <v>46225.0</v>
      </c>
      <c r="B125" s="7">
        <v>13.0</v>
      </c>
      <c r="C125" s="8" t="s">
        <v>21</v>
      </c>
      <c r="D125" s="9" t="s">
        <v>34</v>
      </c>
      <c r="E125" s="8" t="s">
        <v>35</v>
      </c>
      <c r="F125" s="7">
        <v>10.0</v>
      </c>
    </row>
    <row r="126" ht="22.5" customHeight="1">
      <c r="A126" s="25">
        <v>46225.0</v>
      </c>
      <c r="B126" s="7">
        <v>13.0</v>
      </c>
      <c r="C126" s="8" t="s">
        <v>24</v>
      </c>
      <c r="D126" s="9" t="s">
        <v>34</v>
      </c>
      <c r="E126" s="8" t="s">
        <v>35</v>
      </c>
      <c r="F126" s="7">
        <v>10.0</v>
      </c>
    </row>
    <row r="127" ht="22.5" customHeight="1">
      <c r="A127" s="25">
        <v>46225.0</v>
      </c>
      <c r="B127" s="7">
        <v>13.0</v>
      </c>
      <c r="C127" s="8" t="s">
        <v>14</v>
      </c>
      <c r="D127" s="9" t="s">
        <v>37</v>
      </c>
      <c r="E127" s="8" t="s">
        <v>38</v>
      </c>
      <c r="F127" s="7">
        <v>7.0</v>
      </c>
    </row>
    <row r="128" ht="22.5" customHeight="1">
      <c r="A128" s="25">
        <v>46225.0</v>
      </c>
      <c r="B128" s="7">
        <v>13.0</v>
      </c>
      <c r="C128" s="8" t="s">
        <v>39</v>
      </c>
      <c r="D128" s="9" t="s">
        <v>37</v>
      </c>
      <c r="E128" s="8" t="s">
        <v>38</v>
      </c>
      <c r="F128" s="7">
        <v>7.0</v>
      </c>
    </row>
    <row r="129" ht="22.5" customHeight="1">
      <c r="A129" s="25">
        <v>46225.0</v>
      </c>
      <c r="B129" s="7">
        <v>13.0</v>
      </c>
      <c r="C129" s="8" t="s">
        <v>31</v>
      </c>
      <c r="D129" s="9" t="s">
        <v>37</v>
      </c>
      <c r="E129" s="8" t="s">
        <v>38</v>
      </c>
      <c r="F129" s="7">
        <v>7.0</v>
      </c>
    </row>
    <row r="130" ht="22.5" customHeight="1">
      <c r="A130" s="25">
        <v>46225.0</v>
      </c>
      <c r="B130" s="7">
        <v>13.0</v>
      </c>
      <c r="C130" s="8" t="s">
        <v>18</v>
      </c>
      <c r="D130" s="9" t="s">
        <v>37</v>
      </c>
      <c r="E130" s="8" t="s">
        <v>38</v>
      </c>
      <c r="F130" s="7">
        <v>7.0</v>
      </c>
    </row>
    <row r="131" ht="22.5" customHeight="1">
      <c r="A131" s="25">
        <v>46225.0</v>
      </c>
      <c r="B131" s="7">
        <v>13.0</v>
      </c>
      <c r="C131" s="8" t="s">
        <v>30</v>
      </c>
      <c r="D131" s="9" t="s">
        <v>37</v>
      </c>
      <c r="E131" s="8" t="s">
        <v>38</v>
      </c>
      <c r="F131" s="7">
        <v>7.0</v>
      </c>
    </row>
    <row r="132" ht="22.5" customHeight="1">
      <c r="A132" s="25">
        <v>46239.0</v>
      </c>
      <c r="B132" s="7">
        <v>14.0</v>
      </c>
      <c r="C132" s="8" t="s">
        <v>28</v>
      </c>
      <c r="D132" s="9" t="s">
        <v>34</v>
      </c>
      <c r="E132" s="8" t="s">
        <v>38</v>
      </c>
      <c r="F132" s="7">
        <v>12.0</v>
      </c>
    </row>
    <row r="133" ht="22.5" customHeight="1">
      <c r="A133" s="25">
        <v>46239.0</v>
      </c>
      <c r="B133" s="7">
        <v>14.0</v>
      </c>
      <c r="C133" s="8" t="s">
        <v>29</v>
      </c>
      <c r="D133" s="9" t="s">
        <v>34</v>
      </c>
      <c r="E133" s="8" t="s">
        <v>38</v>
      </c>
      <c r="F133" s="7">
        <v>12.0</v>
      </c>
    </row>
    <row r="134" ht="22.5" customHeight="1">
      <c r="A134" s="25">
        <v>46239.0</v>
      </c>
      <c r="B134" s="7">
        <v>14.0</v>
      </c>
      <c r="C134" s="8" t="s">
        <v>21</v>
      </c>
      <c r="D134" s="9" t="s">
        <v>34</v>
      </c>
      <c r="E134" s="8" t="s">
        <v>38</v>
      </c>
      <c r="F134" s="7">
        <v>12.0</v>
      </c>
    </row>
    <row r="135" ht="22.5" customHeight="1">
      <c r="A135" s="25">
        <v>46239.0</v>
      </c>
      <c r="B135" s="7">
        <v>14.0</v>
      </c>
      <c r="C135" s="8" t="s">
        <v>39</v>
      </c>
      <c r="D135" s="9" t="s">
        <v>34</v>
      </c>
      <c r="E135" s="8" t="s">
        <v>38</v>
      </c>
      <c r="F135" s="7">
        <v>12.0</v>
      </c>
    </row>
    <row r="136" ht="22.5" customHeight="1">
      <c r="A136" s="25">
        <v>46239.0</v>
      </c>
      <c r="B136" s="7">
        <v>14.0</v>
      </c>
      <c r="C136" s="8" t="s">
        <v>27</v>
      </c>
      <c r="D136" s="9" t="s">
        <v>34</v>
      </c>
      <c r="E136" s="8" t="s">
        <v>38</v>
      </c>
      <c r="F136" s="7">
        <v>12.0</v>
      </c>
    </row>
    <row r="137" ht="22.5" customHeight="1">
      <c r="A137" s="25">
        <v>46239.0</v>
      </c>
      <c r="B137" s="7">
        <v>14.0</v>
      </c>
      <c r="C137" s="8" t="s">
        <v>25</v>
      </c>
      <c r="D137" s="9" t="s">
        <v>37</v>
      </c>
      <c r="E137" s="8" t="s">
        <v>35</v>
      </c>
      <c r="F137" s="7">
        <v>16.0</v>
      </c>
    </row>
    <row r="138" ht="22.5" customHeight="1">
      <c r="A138" s="25">
        <v>46239.0</v>
      </c>
      <c r="B138" s="7">
        <v>14.0</v>
      </c>
      <c r="C138" s="8" t="s">
        <v>26</v>
      </c>
      <c r="D138" s="9" t="s">
        <v>37</v>
      </c>
      <c r="E138" s="8" t="s">
        <v>35</v>
      </c>
      <c r="F138" s="7">
        <v>16.0</v>
      </c>
    </row>
    <row r="139" ht="22.5" customHeight="1">
      <c r="A139" s="25">
        <v>46239.0</v>
      </c>
      <c r="B139" s="7">
        <v>14.0</v>
      </c>
      <c r="C139" s="8" t="s">
        <v>40</v>
      </c>
      <c r="D139" s="9" t="s">
        <v>37</v>
      </c>
      <c r="E139" s="8" t="s">
        <v>35</v>
      </c>
      <c r="F139" s="7">
        <v>16.0</v>
      </c>
    </row>
    <row r="140" ht="22.5" customHeight="1">
      <c r="A140" s="25">
        <v>46239.0</v>
      </c>
      <c r="B140" s="7">
        <v>14.0</v>
      </c>
      <c r="C140" s="8" t="s">
        <v>18</v>
      </c>
      <c r="D140" s="9" t="s">
        <v>37</v>
      </c>
      <c r="E140" s="8" t="s">
        <v>35</v>
      </c>
      <c r="F140" s="7">
        <v>16.0</v>
      </c>
    </row>
    <row r="141" ht="22.5" customHeight="1">
      <c r="A141" s="25">
        <v>46239.0</v>
      </c>
      <c r="B141" s="7">
        <v>14.0</v>
      </c>
      <c r="C141" s="8" t="s">
        <v>33</v>
      </c>
      <c r="D141" s="9" t="s">
        <v>37</v>
      </c>
      <c r="E141" s="8" t="s">
        <v>35</v>
      </c>
      <c r="F141" s="7">
        <v>16.0</v>
      </c>
    </row>
    <row r="142" ht="22.5" customHeight="1">
      <c r="A142" s="25">
        <v>46246.0</v>
      </c>
      <c r="B142" s="7">
        <v>15.0</v>
      </c>
      <c r="C142" s="8" t="s">
        <v>28</v>
      </c>
      <c r="D142" s="9" t="s">
        <v>34</v>
      </c>
      <c r="E142" s="8" t="s">
        <v>35</v>
      </c>
      <c r="F142" s="7">
        <v>12.0</v>
      </c>
    </row>
    <row r="143" ht="22.5" customHeight="1">
      <c r="A143" s="25">
        <v>46246.0</v>
      </c>
      <c r="B143" s="7">
        <v>15.0</v>
      </c>
      <c r="C143" s="8" t="s">
        <v>29</v>
      </c>
      <c r="D143" s="9" t="s">
        <v>34</v>
      </c>
      <c r="E143" s="8" t="s">
        <v>35</v>
      </c>
      <c r="F143" s="7">
        <v>12.0</v>
      </c>
    </row>
    <row r="144" ht="22.5" customHeight="1">
      <c r="A144" s="25">
        <v>46246.0</v>
      </c>
      <c r="B144" s="7">
        <v>15.0</v>
      </c>
      <c r="C144" s="8" t="s">
        <v>21</v>
      </c>
      <c r="D144" s="9" t="s">
        <v>34</v>
      </c>
      <c r="E144" s="8" t="s">
        <v>35</v>
      </c>
      <c r="F144" s="7">
        <v>12.0</v>
      </c>
    </row>
    <row r="145" ht="22.5" customHeight="1">
      <c r="A145" s="25">
        <v>46246.0</v>
      </c>
      <c r="B145" s="7">
        <v>15.0</v>
      </c>
      <c r="C145" s="8" t="s">
        <v>39</v>
      </c>
      <c r="D145" s="9" t="s">
        <v>34</v>
      </c>
      <c r="E145" s="8" t="s">
        <v>35</v>
      </c>
      <c r="F145" s="7">
        <v>12.0</v>
      </c>
    </row>
    <row r="146" ht="22.5" customHeight="1">
      <c r="A146" s="25">
        <v>46246.0</v>
      </c>
      <c r="B146" s="7">
        <v>15.0</v>
      </c>
      <c r="C146" s="8" t="s">
        <v>16</v>
      </c>
      <c r="D146" s="9" t="s">
        <v>34</v>
      </c>
      <c r="E146" s="8" t="s">
        <v>35</v>
      </c>
      <c r="F146" s="7">
        <v>12.0</v>
      </c>
    </row>
    <row r="147" ht="22.5" customHeight="1">
      <c r="A147" s="25">
        <v>46246.0</v>
      </c>
      <c r="B147" s="7">
        <v>15.0</v>
      </c>
      <c r="C147" s="8" t="s">
        <v>25</v>
      </c>
      <c r="D147" s="9" t="s">
        <v>37</v>
      </c>
      <c r="E147" s="8" t="s">
        <v>38</v>
      </c>
      <c r="F147" s="7">
        <v>6.0</v>
      </c>
    </row>
    <row r="148" ht="22.5" customHeight="1">
      <c r="A148" s="25">
        <v>46246.0</v>
      </c>
      <c r="B148" s="7">
        <v>15.0</v>
      </c>
      <c r="C148" s="8" t="s">
        <v>24</v>
      </c>
      <c r="D148" s="9" t="s">
        <v>37</v>
      </c>
      <c r="E148" s="8" t="s">
        <v>38</v>
      </c>
      <c r="F148" s="7">
        <v>6.0</v>
      </c>
    </row>
    <row r="149" ht="22.5" customHeight="1">
      <c r="A149" s="25">
        <v>46246.0</v>
      </c>
      <c r="B149" s="7">
        <v>15.0</v>
      </c>
      <c r="C149" s="8" t="s">
        <v>18</v>
      </c>
      <c r="D149" s="9" t="s">
        <v>37</v>
      </c>
      <c r="E149" s="8" t="s">
        <v>38</v>
      </c>
      <c r="F149" s="7">
        <v>6.0</v>
      </c>
    </row>
    <row r="150" ht="22.5" customHeight="1">
      <c r="A150" s="25">
        <v>46246.0</v>
      </c>
      <c r="B150" s="7">
        <v>15.0</v>
      </c>
      <c r="C150" s="8" t="s">
        <v>12</v>
      </c>
      <c r="D150" s="9" t="s">
        <v>37</v>
      </c>
      <c r="E150" s="8" t="s">
        <v>38</v>
      </c>
      <c r="F150" s="7">
        <v>6.0</v>
      </c>
    </row>
    <row r="151" ht="22.5" customHeight="1">
      <c r="A151" s="25">
        <v>46246.0</v>
      </c>
      <c r="B151" s="7">
        <v>15.0</v>
      </c>
      <c r="C151" s="8" t="s">
        <v>26</v>
      </c>
      <c r="D151" s="9" t="s">
        <v>37</v>
      </c>
      <c r="E151" s="8" t="s">
        <v>38</v>
      </c>
      <c r="F151" s="7">
        <v>6.0</v>
      </c>
    </row>
    <row r="152" ht="22.5" customHeight="1">
      <c r="A152" s="25">
        <v>46253.0</v>
      </c>
      <c r="B152" s="7">
        <v>16.0</v>
      </c>
      <c r="C152" s="8" t="s">
        <v>28</v>
      </c>
      <c r="D152" s="9" t="s">
        <v>34</v>
      </c>
      <c r="E152" s="8" t="s">
        <v>41</v>
      </c>
      <c r="F152" s="7">
        <v>7.0</v>
      </c>
    </row>
    <row r="153" ht="22.5" customHeight="1">
      <c r="A153" s="25">
        <v>46253.0</v>
      </c>
      <c r="B153" s="7">
        <v>16.0</v>
      </c>
      <c r="C153" s="8" t="s">
        <v>25</v>
      </c>
      <c r="D153" s="9" t="s">
        <v>34</v>
      </c>
      <c r="E153" s="8" t="s">
        <v>41</v>
      </c>
      <c r="F153" s="7">
        <v>7.0</v>
      </c>
    </row>
    <row r="154" ht="22.5" customHeight="1">
      <c r="A154" s="25">
        <v>46253.0</v>
      </c>
      <c r="B154" s="7">
        <v>16.0</v>
      </c>
      <c r="C154" s="8" t="s">
        <v>31</v>
      </c>
      <c r="D154" s="9" t="s">
        <v>34</v>
      </c>
      <c r="E154" s="8" t="s">
        <v>41</v>
      </c>
      <c r="F154" s="7">
        <v>7.0</v>
      </c>
    </row>
    <row r="155" ht="22.5" customHeight="1">
      <c r="A155" s="25">
        <v>46253.0</v>
      </c>
      <c r="B155" s="7">
        <v>16.0</v>
      </c>
      <c r="C155" s="8" t="s">
        <v>18</v>
      </c>
      <c r="D155" s="9" t="s">
        <v>42</v>
      </c>
      <c r="E155" s="8" t="s">
        <v>41</v>
      </c>
      <c r="F155" s="7">
        <v>7.0</v>
      </c>
    </row>
    <row r="156" ht="22.5" customHeight="1">
      <c r="A156" s="25">
        <v>46253.0</v>
      </c>
      <c r="B156" s="7">
        <v>16.0</v>
      </c>
      <c r="C156" s="8" t="s">
        <v>13</v>
      </c>
      <c r="D156" s="9" t="s">
        <v>34</v>
      </c>
      <c r="E156" s="8" t="s">
        <v>41</v>
      </c>
      <c r="F156" s="7">
        <v>7.0</v>
      </c>
    </row>
    <row r="157" ht="22.5" customHeight="1">
      <c r="A157" s="25">
        <v>46253.0</v>
      </c>
      <c r="B157" s="7">
        <v>16.0</v>
      </c>
      <c r="C157" s="8" t="s">
        <v>29</v>
      </c>
      <c r="D157" s="9" t="s">
        <v>37</v>
      </c>
      <c r="E157" s="8" t="s">
        <v>41</v>
      </c>
      <c r="F157" s="7">
        <v>7.0</v>
      </c>
    </row>
    <row r="158" ht="22.5" customHeight="1">
      <c r="A158" s="25">
        <v>46253.0</v>
      </c>
      <c r="B158" s="7">
        <v>16.0</v>
      </c>
      <c r="C158" s="8" t="s">
        <v>21</v>
      </c>
      <c r="D158" s="9" t="s">
        <v>37</v>
      </c>
      <c r="E158" s="8" t="s">
        <v>41</v>
      </c>
      <c r="F158" s="7">
        <v>7.0</v>
      </c>
    </row>
    <row r="159" ht="22.5" customHeight="1">
      <c r="A159" s="25">
        <v>46253.0</v>
      </c>
      <c r="B159" s="7">
        <v>16.0</v>
      </c>
      <c r="C159" s="8" t="s">
        <v>26</v>
      </c>
      <c r="D159" s="9" t="s">
        <v>37</v>
      </c>
      <c r="E159" s="8" t="s">
        <v>41</v>
      </c>
      <c r="F159" s="7">
        <v>7.0</v>
      </c>
    </row>
    <row r="160" ht="22.5" customHeight="1">
      <c r="A160" s="25">
        <v>46253.0</v>
      </c>
      <c r="B160" s="7">
        <v>16.0</v>
      </c>
      <c r="C160" s="8" t="s">
        <v>39</v>
      </c>
      <c r="D160" s="9" t="s">
        <v>37</v>
      </c>
      <c r="E160" s="8" t="s">
        <v>41</v>
      </c>
      <c r="F160" s="7">
        <v>7.0</v>
      </c>
    </row>
    <row r="161" ht="22.5" customHeight="1">
      <c r="A161" s="25">
        <v>46253.0</v>
      </c>
      <c r="B161" s="7">
        <v>16.0</v>
      </c>
      <c r="C161" s="8" t="s">
        <v>32</v>
      </c>
      <c r="D161" s="9" t="s">
        <v>37</v>
      </c>
      <c r="E161" s="8" t="s">
        <v>41</v>
      </c>
      <c r="F161" s="7">
        <v>7.0</v>
      </c>
    </row>
    <row r="162" ht="22.5" customHeight="1">
      <c r="A162" s="25">
        <v>46260.0</v>
      </c>
      <c r="B162" s="7">
        <v>17.0</v>
      </c>
      <c r="C162" s="8" t="s">
        <v>28</v>
      </c>
      <c r="D162" s="9" t="s">
        <v>34</v>
      </c>
      <c r="E162" s="8" t="s">
        <v>41</v>
      </c>
      <c r="F162" s="7">
        <v>13.0</v>
      </c>
    </row>
    <row r="163" ht="22.5" customHeight="1">
      <c r="A163" s="25">
        <v>46260.0</v>
      </c>
      <c r="B163" s="7">
        <v>17.0</v>
      </c>
      <c r="C163" s="8" t="s">
        <v>21</v>
      </c>
      <c r="D163" s="9" t="s">
        <v>34</v>
      </c>
      <c r="E163" s="8" t="s">
        <v>41</v>
      </c>
      <c r="F163" s="7">
        <v>13.0</v>
      </c>
    </row>
    <row r="164" ht="22.5" customHeight="1">
      <c r="A164" s="25">
        <v>46260.0</v>
      </c>
      <c r="B164" s="7">
        <v>17.0</v>
      </c>
      <c r="C164" s="8" t="s">
        <v>20</v>
      </c>
      <c r="D164" s="9" t="s">
        <v>34</v>
      </c>
      <c r="E164" s="8" t="s">
        <v>41</v>
      </c>
      <c r="F164" s="7">
        <v>13.0</v>
      </c>
    </row>
    <row r="165" ht="22.5" customHeight="1">
      <c r="A165" s="25">
        <v>46260.0</v>
      </c>
      <c r="B165" s="7">
        <v>17.0</v>
      </c>
      <c r="C165" s="8" t="s">
        <v>18</v>
      </c>
      <c r="D165" s="9" t="s">
        <v>34</v>
      </c>
      <c r="E165" s="8" t="s">
        <v>41</v>
      </c>
      <c r="F165" s="7">
        <v>13.0</v>
      </c>
    </row>
    <row r="166" ht="22.5" customHeight="1">
      <c r="A166" s="25">
        <v>46260.0</v>
      </c>
      <c r="B166" s="7">
        <v>17.0</v>
      </c>
      <c r="C166" s="8" t="s">
        <v>26</v>
      </c>
      <c r="D166" s="9" t="s">
        <v>34</v>
      </c>
      <c r="E166" s="8" t="s">
        <v>41</v>
      </c>
      <c r="F166" s="7">
        <v>13.0</v>
      </c>
    </row>
    <row r="167" ht="22.5" customHeight="1">
      <c r="A167" s="25">
        <v>46260.0</v>
      </c>
      <c r="B167" s="7">
        <v>17.0</v>
      </c>
      <c r="C167" s="8" t="s">
        <v>29</v>
      </c>
      <c r="D167" s="9" t="s">
        <v>37</v>
      </c>
      <c r="E167" s="8" t="s">
        <v>41</v>
      </c>
      <c r="F167" s="7">
        <v>13.0</v>
      </c>
    </row>
    <row r="168" ht="22.5" customHeight="1">
      <c r="A168" s="25">
        <v>46260.0</v>
      </c>
      <c r="B168" s="7">
        <v>17.0</v>
      </c>
      <c r="C168" s="8" t="s">
        <v>39</v>
      </c>
      <c r="D168" s="9" t="s">
        <v>37</v>
      </c>
      <c r="E168" s="8" t="s">
        <v>41</v>
      </c>
      <c r="F168" s="7">
        <v>13.0</v>
      </c>
    </row>
    <row r="169" ht="22.5" customHeight="1">
      <c r="A169" s="25">
        <v>46260.0</v>
      </c>
      <c r="B169" s="7">
        <v>17.0</v>
      </c>
      <c r="C169" s="8" t="s">
        <v>15</v>
      </c>
      <c r="D169" s="9" t="s">
        <v>37</v>
      </c>
      <c r="E169" s="8" t="s">
        <v>41</v>
      </c>
      <c r="F169" s="7">
        <v>13.0</v>
      </c>
    </row>
    <row r="170" ht="22.5" customHeight="1">
      <c r="A170" s="25">
        <v>46260.0</v>
      </c>
      <c r="B170" s="7">
        <v>17.0</v>
      </c>
      <c r="C170" s="8" t="s">
        <v>27</v>
      </c>
      <c r="D170" s="9" t="s">
        <v>37</v>
      </c>
      <c r="E170" s="8" t="s">
        <v>41</v>
      </c>
      <c r="F170" s="7">
        <v>13.0</v>
      </c>
    </row>
    <row r="171" ht="22.5" customHeight="1">
      <c r="A171" s="25">
        <v>46260.0</v>
      </c>
      <c r="B171" s="7">
        <v>17.0</v>
      </c>
      <c r="C171" s="8" t="s">
        <v>31</v>
      </c>
      <c r="D171" s="9" t="s">
        <v>37</v>
      </c>
      <c r="E171" s="8" t="s">
        <v>41</v>
      </c>
      <c r="F171" s="7">
        <v>13.0</v>
      </c>
    </row>
  </sheetData>
  <dataValidations>
    <dataValidation type="custom" allowBlank="1" showDropDown="1" sqref="A2:A171">
      <formula1>OR(NOT(ISERROR(DATEVALUE(A2))), AND(ISNUMBER(A2), LEFT(CELL("format", A2))="D"))</formula1>
    </dataValidation>
    <dataValidation type="custom" allowBlank="1" showDropDown="1" sqref="B2:B171 F2:F171">
      <formula1>AND(ISNUMBER(B2),(NOT(OR(NOT(ISERROR(DATEVALUE(B2))), AND(ISNUMBER(B2), LEFT(CELL("format", B2))="D")))))</formula1>
    </dataValidation>
    <dataValidation type="list" allowBlank="1" sqref="P2:P25">
      <formula1>"A,B,C,D"</formula1>
    </dataValidation>
    <dataValidation type="list" allowBlank="1" sqref="E2:E171">
      <formula1>"V,V,V,V,V,D,D,D,D,D,V,V,E"</formula1>
    </dataValidation>
    <dataValidation type="custom" allowBlank="1" showDropDown="1" sqref="I2:M25">
      <formula1>AND(ISNUMBER(I2),(NOT(OR(NOT(ISERROR(DATEVALUE(I2))), AND(ISNUMBER(I2), LEFT(CELL("format", I2))="D")))))</formula1>
    </dataValidation>
    <dataValidation allowBlank="1" showDropDown="1" sqref="H2:H25"/>
    <dataValidation type="list" allowBlank="1" sqref="C2:C171">
      <formula1>"NicoRz,Ema,Mauri,Odri,Fede,Leo,Ivan,Marce,Mauro,Alf,Santi,Xavi,Facu,Mateo,Franquito,Manuelo,Juan,NicoL,Ruso,Will,Colo,Duki,Tomas,Fabri"</formula1>
    </dataValidation>
  </dataValidations>
  <drawing r:id="rId1"/>
  <tableParts count="3">
    <tablePart r:id="rId5"/>
    <tablePart r:id="rId6"/>
    <tablePart r:id="rId7"/>
  </tableParts>
</worksheet>
</file>